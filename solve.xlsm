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sim\OneDrive\Рабочий стол\labs\informatics\"/>
    </mc:Choice>
  </mc:AlternateContent>
  <xr:revisionPtr revIDLastSave="0" documentId="13_ncr:1_{FEAC8DB0-219C-468F-8DEE-FDE325039970}" xr6:coauthVersionLast="47" xr6:coauthVersionMax="47" xr10:uidLastSave="{00000000-0000-0000-0000-000000000000}"/>
  <bookViews>
    <workbookView xWindow="-120" yWindow="-120" windowWidth="29040" windowHeight="15720" activeTab="2" xr2:uid="{DE667290-BF52-41AD-BB3D-0891AB02CCE6}"/>
  </bookViews>
  <sheets>
    <sheet name="перевод" sheetId="1" r:id="rId1"/>
    <sheet name="сложение" sheetId="2" r:id="rId2"/>
    <sheet name="диаграмма" sheetId="3" r:id="rId3"/>
  </sheets>
  <functionGroups builtInGroupCount="19"/>
  <externalReferences>
    <externalReference r:id="rId4"/>
  </externalReferences>
  <definedNames>
    <definedName name="_xlchart.v1.0" hidden="1">[1]Лист1!$AA$1</definedName>
    <definedName name="_xlchart.v1.1" hidden="1">[1]Лист1!$AA$2:$AA$3066</definedName>
    <definedName name="_xlchart.v1.10" hidden="1">[1]Лист1!$AF$1</definedName>
    <definedName name="_xlchart.v1.11" hidden="1">[1]Лист1!$AF$2:$AF$3066</definedName>
    <definedName name="_xlchart.v1.12" hidden="1">[1]Лист1!$AG$1</definedName>
    <definedName name="_xlchart.v1.13" hidden="1">[1]Лист1!$AG$2:$AG$3066</definedName>
    <definedName name="_xlchart.v1.14" hidden="1">[1]Лист1!$AH$1</definedName>
    <definedName name="_xlchart.v1.15" hidden="1">[1]Лист1!$AH$2:$AH$3066</definedName>
    <definedName name="_xlchart.v1.16" hidden="1">[1]Лист1!$S$1</definedName>
    <definedName name="_xlchart.v1.17" hidden="1">[1]Лист1!$S$2:$S$3066</definedName>
    <definedName name="_xlchart.v1.18" hidden="1">[1]Лист1!$T$1</definedName>
    <definedName name="_xlchart.v1.19" hidden="1">[1]Лист1!$T$2:$T$3066</definedName>
    <definedName name="_xlchart.v1.2" hidden="1">[1]Лист1!$AB$1</definedName>
    <definedName name="_xlchart.v1.20" hidden="1">[1]Лист1!$U$1</definedName>
    <definedName name="_xlchart.v1.21" hidden="1">[1]Лист1!$U$2:$U$3066</definedName>
    <definedName name="_xlchart.v1.22" hidden="1">[1]Лист1!$V$1</definedName>
    <definedName name="_xlchart.v1.23" hidden="1">[1]Лист1!$V$2:$V$3066</definedName>
    <definedName name="_xlchart.v1.24" hidden="1">[1]Лист1!$W$1</definedName>
    <definedName name="_xlchart.v1.25" hidden="1">[1]Лист1!$W$2:$W$3066</definedName>
    <definedName name="_xlchart.v1.26" hidden="1">[1]Лист1!$X$1</definedName>
    <definedName name="_xlchart.v1.27" hidden="1">[1]Лист1!$X$2:$X$3066</definedName>
    <definedName name="_xlchart.v1.28" hidden="1">[1]Лист1!$Y$1</definedName>
    <definedName name="_xlchart.v1.29" hidden="1">[1]Лист1!$Y$2:$Y$3066</definedName>
    <definedName name="_xlchart.v1.3" hidden="1">[1]Лист1!$AB$2:$AB$3066</definedName>
    <definedName name="_xlchart.v1.30" hidden="1">[1]Лист1!$Z$1</definedName>
    <definedName name="_xlchart.v1.31" hidden="1">[1]Лист1!$Z$2:$Z$3066</definedName>
    <definedName name="_xlchart.v1.4" hidden="1">[1]Лист1!$AC$1</definedName>
    <definedName name="_xlchart.v1.5" hidden="1">[1]Лист1!$AC$2:$AC$3066</definedName>
    <definedName name="_xlchart.v1.6" hidden="1">[1]Лист1!$AD$1</definedName>
    <definedName name="_xlchart.v1.7" hidden="1">[1]Лист1!$AD$2:$AD$3066</definedName>
    <definedName name="_xlchart.v1.8" hidden="1">[1]Лист1!$AE$1</definedName>
    <definedName name="_xlchart.v1.9" hidden="1">[1]Лист1!$AE$2:$AE$3066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3" i="1" l="1"/>
  <c r="X3" i="1"/>
  <c r="W3" i="1"/>
  <c r="V3" i="1"/>
  <c r="T3" i="1"/>
  <c r="S3" i="1"/>
  <c r="R3" i="1"/>
  <c r="Q3" i="1"/>
  <c r="O3" i="1"/>
  <c r="N3" i="1"/>
  <c r="M3" i="1"/>
  <c r="L3" i="1"/>
  <c r="J3" i="1"/>
  <c r="I3" i="1"/>
  <c r="H3" i="1"/>
  <c r="G3" i="1"/>
  <c r="C8" i="1"/>
  <c r="C14" i="1" s="1"/>
  <c r="C7" i="1"/>
  <c r="C13" i="1" s="1"/>
  <c r="C6" i="1"/>
  <c r="C5" i="1"/>
  <c r="C11" i="1" s="1"/>
  <c r="C4" i="1"/>
  <c r="C9" i="1" l="1"/>
  <c r="C15" i="1" s="1"/>
  <c r="G13" i="1"/>
  <c r="H13" i="1" s="1"/>
  <c r="I13" i="1" s="1"/>
  <c r="J13" i="1" s="1"/>
  <c r="Z34" i="2"/>
  <c r="G14" i="1"/>
  <c r="D31" i="2" s="1"/>
  <c r="AL31" i="2" s="1"/>
  <c r="Z14" i="2"/>
  <c r="G11" i="1"/>
  <c r="G9" i="1"/>
  <c r="G8" i="1"/>
  <c r="H8" i="1" s="1"/>
  <c r="G6" i="1"/>
  <c r="G5" i="1"/>
  <c r="G15" i="1"/>
  <c r="H15" i="1" s="1"/>
  <c r="G4" i="1"/>
  <c r="H4" i="1"/>
  <c r="G7" i="1"/>
  <c r="Z4" i="2"/>
  <c r="C10" i="1"/>
  <c r="Z9" i="2"/>
  <c r="C12" i="1"/>
  <c r="Z24" i="2" s="1"/>
  <c r="Z29" i="2"/>
  <c r="D11" i="2" l="1"/>
  <c r="AL11" i="2" s="1"/>
  <c r="D2" i="2"/>
  <c r="AM1" i="2" s="1"/>
  <c r="D6" i="2"/>
  <c r="AL6" i="2" s="1"/>
  <c r="D7" i="2"/>
  <c r="AM6" i="2" s="1"/>
  <c r="D32" i="2"/>
  <c r="AM31" i="2" s="1"/>
  <c r="D17" i="2"/>
  <c r="AM16" i="2" s="1"/>
  <c r="D21" i="2"/>
  <c r="AL21" i="2" s="1"/>
  <c r="D27" i="2"/>
  <c r="AM26" i="2" s="1"/>
  <c r="D1" i="2"/>
  <c r="AL1" i="2" s="1"/>
  <c r="D26" i="2"/>
  <c r="AL26" i="2" s="1"/>
  <c r="H11" i="1"/>
  <c r="E17" i="2" s="1"/>
  <c r="E21" i="2"/>
  <c r="E1" i="2"/>
  <c r="E26" i="2"/>
  <c r="H14" i="1"/>
  <c r="E31" i="2"/>
  <c r="J8" i="1"/>
  <c r="H5" i="1"/>
  <c r="E6" i="2" s="1"/>
  <c r="E2" i="2"/>
  <c r="E11" i="2"/>
  <c r="H6" i="1"/>
  <c r="E32" i="2" s="1"/>
  <c r="E7" i="2"/>
  <c r="I8" i="1"/>
  <c r="H7" i="1"/>
  <c r="I7" i="1" s="1"/>
  <c r="I15" i="1"/>
  <c r="J15" i="1" s="1"/>
  <c r="H9" i="1"/>
  <c r="G12" i="1"/>
  <c r="H12" i="1"/>
  <c r="I4" i="1"/>
  <c r="F26" i="2" s="1"/>
  <c r="Z19" i="2"/>
  <c r="G10" i="1"/>
  <c r="L13" i="1"/>
  <c r="M13" i="1" s="1"/>
  <c r="F1" i="2" l="1"/>
  <c r="I6" i="1"/>
  <c r="I11" i="1"/>
  <c r="J11" i="1" s="1"/>
  <c r="E27" i="2"/>
  <c r="E22" i="2"/>
  <c r="D22" i="2"/>
  <c r="AM21" i="2" s="1"/>
  <c r="D16" i="2"/>
  <c r="AL16" i="2" s="1"/>
  <c r="D12" i="2"/>
  <c r="AM11" i="2" s="1"/>
  <c r="I12" i="1"/>
  <c r="L8" i="1"/>
  <c r="M8" i="1" s="1"/>
  <c r="N8" i="1" s="1"/>
  <c r="F11" i="2"/>
  <c r="F6" i="2"/>
  <c r="I5" i="1"/>
  <c r="F2" i="2" s="1"/>
  <c r="G21" i="2"/>
  <c r="G27" i="2"/>
  <c r="G17" i="2"/>
  <c r="H21" i="2"/>
  <c r="H27" i="2"/>
  <c r="H17" i="2"/>
  <c r="I14" i="1"/>
  <c r="G26" i="2"/>
  <c r="G1" i="2"/>
  <c r="J14" i="1"/>
  <c r="H10" i="1"/>
  <c r="E12" i="2"/>
  <c r="E16" i="2"/>
  <c r="F7" i="2"/>
  <c r="F32" i="2"/>
  <c r="G32" i="2"/>
  <c r="J4" i="1"/>
  <c r="L4" i="1" s="1"/>
  <c r="F21" i="2"/>
  <c r="F27" i="2"/>
  <c r="F17" i="2"/>
  <c r="N13" i="1"/>
  <c r="O13" i="1" s="1"/>
  <c r="Q13" i="1" s="1"/>
  <c r="R13" i="1" s="1"/>
  <c r="S13" i="1" s="1"/>
  <c r="I10" i="1"/>
  <c r="J7" i="1"/>
  <c r="J6" i="1"/>
  <c r="G7" i="2" s="1"/>
  <c r="I9" i="1"/>
  <c r="L15" i="1"/>
  <c r="M15" i="1" s="1"/>
  <c r="L11" i="1"/>
  <c r="I1" i="2" l="1"/>
  <c r="I26" i="2"/>
  <c r="M11" i="1"/>
  <c r="I17" i="2"/>
  <c r="I27" i="2"/>
  <c r="I21" i="2"/>
  <c r="G31" i="2"/>
  <c r="F31" i="2"/>
  <c r="F22" i="2"/>
  <c r="J12" i="1"/>
  <c r="H22" i="2" s="1"/>
  <c r="O8" i="1"/>
  <c r="Q8" i="1" s="1"/>
  <c r="L14" i="1"/>
  <c r="I31" i="2" s="1"/>
  <c r="H31" i="2"/>
  <c r="J5" i="1"/>
  <c r="G11" i="2" s="1"/>
  <c r="L6" i="1"/>
  <c r="H7" i="2"/>
  <c r="H32" i="2"/>
  <c r="J27" i="2"/>
  <c r="J17" i="2"/>
  <c r="J21" i="2"/>
  <c r="G16" i="2"/>
  <c r="G12" i="2"/>
  <c r="F12" i="2"/>
  <c r="F16" i="2"/>
  <c r="H26" i="2"/>
  <c r="H1" i="2"/>
  <c r="N15" i="1"/>
  <c r="O15" i="1" s="1"/>
  <c r="Q15" i="1" s="1"/>
  <c r="J10" i="1"/>
  <c r="J9" i="1"/>
  <c r="T13" i="1"/>
  <c r="V13" i="1" s="1"/>
  <c r="M4" i="1"/>
  <c r="J1" i="2" s="1"/>
  <c r="L7" i="1"/>
  <c r="M7" i="1" s="1"/>
  <c r="N11" i="1"/>
  <c r="K17" i="2" s="1"/>
  <c r="R8" i="1" l="1"/>
  <c r="S8" i="1" s="1"/>
  <c r="G22" i="2"/>
  <c r="G2" i="2"/>
  <c r="G6" i="2"/>
  <c r="K27" i="2"/>
  <c r="K21" i="2"/>
  <c r="L12" i="1"/>
  <c r="J26" i="2"/>
  <c r="I32" i="2"/>
  <c r="I7" i="2"/>
  <c r="J32" i="2"/>
  <c r="J7" i="2"/>
  <c r="H11" i="2"/>
  <c r="H2" i="2"/>
  <c r="H6" i="2"/>
  <c r="M6" i="1"/>
  <c r="N6" i="1" s="1"/>
  <c r="O11" i="1"/>
  <c r="L27" i="2"/>
  <c r="L17" i="2"/>
  <c r="L21" i="2"/>
  <c r="L5" i="1"/>
  <c r="N4" i="1"/>
  <c r="O4" i="1" s="1"/>
  <c r="H16" i="2"/>
  <c r="H12" i="2"/>
  <c r="M14" i="1"/>
  <c r="J31" i="2" s="1"/>
  <c r="L9" i="1"/>
  <c r="R15" i="1"/>
  <c r="S15" i="1" s="1"/>
  <c r="L10" i="1"/>
  <c r="N7" i="1"/>
  <c r="O7" i="1"/>
  <c r="M12" i="1"/>
  <c r="T8" i="1"/>
  <c r="W13" i="1"/>
  <c r="X13" i="1" s="1"/>
  <c r="K1" i="2" l="1"/>
  <c r="K26" i="2"/>
  <c r="I11" i="2"/>
  <c r="I2" i="2"/>
  <c r="I6" i="2"/>
  <c r="I16" i="2"/>
  <c r="I12" i="2"/>
  <c r="J22" i="2"/>
  <c r="I22" i="2"/>
  <c r="Y13" i="1"/>
  <c r="T15" i="1"/>
  <c r="V15" i="1" s="1"/>
  <c r="O6" i="1"/>
  <c r="L7" i="2" s="1"/>
  <c r="N14" i="1"/>
  <c r="K31" i="2"/>
  <c r="M5" i="1"/>
  <c r="J11" i="2" s="1"/>
  <c r="M17" i="2"/>
  <c r="M27" i="2"/>
  <c r="M21" i="2"/>
  <c r="M26" i="2"/>
  <c r="M1" i="2"/>
  <c r="Q11" i="1"/>
  <c r="K32" i="2"/>
  <c r="K7" i="2"/>
  <c r="L26" i="2"/>
  <c r="L1" i="2"/>
  <c r="M10" i="1"/>
  <c r="J16" i="2" s="1"/>
  <c r="M9" i="1"/>
  <c r="N9" i="1" s="1"/>
  <c r="N12" i="1"/>
  <c r="K22" i="2" s="1"/>
  <c r="Q4" i="1"/>
  <c r="Q7" i="1"/>
  <c r="V8" i="1"/>
  <c r="W15" i="1" l="1"/>
  <c r="L32" i="2"/>
  <c r="N26" i="2"/>
  <c r="N1" i="2"/>
  <c r="J2" i="2"/>
  <c r="N17" i="2"/>
  <c r="N27" i="2"/>
  <c r="N21" i="2"/>
  <c r="J12" i="2"/>
  <c r="J6" i="2"/>
  <c r="X15" i="1"/>
  <c r="Y15" i="1" s="1"/>
  <c r="R4" i="1"/>
  <c r="O26" i="2" s="1"/>
  <c r="O14" i="1"/>
  <c r="L31" i="2"/>
  <c r="Q6" i="1"/>
  <c r="M7" i="2"/>
  <c r="M32" i="2"/>
  <c r="N5" i="1"/>
  <c r="K6" i="2" s="1"/>
  <c r="K16" i="2"/>
  <c r="K12" i="2"/>
  <c r="R11" i="1"/>
  <c r="O27" i="2" s="1"/>
  <c r="O9" i="1"/>
  <c r="Q9" i="1"/>
  <c r="R9" i="1" s="1"/>
  <c r="O12" i="1"/>
  <c r="M22" i="2" s="1"/>
  <c r="N10" i="1"/>
  <c r="R7" i="1"/>
  <c r="W8" i="1"/>
  <c r="X8" i="1" s="1"/>
  <c r="O17" i="2" l="1"/>
  <c r="O21" i="2"/>
  <c r="O1" i="2"/>
  <c r="K2" i="2"/>
  <c r="K11" i="2"/>
  <c r="N32" i="2"/>
  <c r="N7" i="2"/>
  <c r="L22" i="2"/>
  <c r="M31" i="2"/>
  <c r="Q14" i="1"/>
  <c r="S11" i="1"/>
  <c r="P21" i="2" s="1"/>
  <c r="P17" i="2"/>
  <c r="R6" i="1"/>
  <c r="O7" i="2" s="1"/>
  <c r="L16" i="2"/>
  <c r="O5" i="1"/>
  <c r="L2" i="2" s="1"/>
  <c r="L6" i="2"/>
  <c r="S4" i="1"/>
  <c r="P1" i="2" s="1"/>
  <c r="S9" i="1"/>
  <c r="T9" i="1" s="1"/>
  <c r="V9" i="1" s="1"/>
  <c r="Q12" i="1"/>
  <c r="R12" i="1" s="1"/>
  <c r="S7" i="1"/>
  <c r="O10" i="1"/>
  <c r="L12" i="2" s="1"/>
  <c r="T7" i="1"/>
  <c r="V7" i="1" s="1"/>
  <c r="W7" i="1" s="1"/>
  <c r="Y8" i="1"/>
  <c r="L11" i="2" l="1"/>
  <c r="T11" i="1"/>
  <c r="Q21" i="2" s="1"/>
  <c r="P27" i="2"/>
  <c r="N31" i="2"/>
  <c r="O22" i="2"/>
  <c r="N22" i="2"/>
  <c r="O32" i="2"/>
  <c r="Q5" i="1"/>
  <c r="R5" i="1" s="1"/>
  <c r="O11" i="2" s="1"/>
  <c r="P26" i="2"/>
  <c r="R14" i="1"/>
  <c r="S14" i="1" s="1"/>
  <c r="W9" i="1"/>
  <c r="X9" i="1" s="1"/>
  <c r="Y9" i="1" s="1"/>
  <c r="V11" i="1"/>
  <c r="Q17" i="2"/>
  <c r="Q27" i="2"/>
  <c r="R21" i="2"/>
  <c r="R27" i="2"/>
  <c r="R17" i="2"/>
  <c r="S12" i="1"/>
  <c r="P22" i="2" s="1"/>
  <c r="T4" i="1"/>
  <c r="Q26" i="2" s="1"/>
  <c r="M11" i="2"/>
  <c r="M6" i="2"/>
  <c r="M2" i="2"/>
  <c r="M12" i="2"/>
  <c r="M16" i="2"/>
  <c r="S6" i="1"/>
  <c r="T6" i="1" s="1"/>
  <c r="Q10" i="1"/>
  <c r="X7" i="1"/>
  <c r="Y7" i="1" s="1"/>
  <c r="S17" i="2" l="1"/>
  <c r="S21" i="2"/>
  <c r="S27" i="2"/>
  <c r="P31" i="2"/>
  <c r="Q1" i="2"/>
  <c r="N11" i="2"/>
  <c r="N2" i="2"/>
  <c r="N6" i="2"/>
  <c r="R10" i="1"/>
  <c r="O16" i="2" s="1"/>
  <c r="N16" i="2"/>
  <c r="N12" i="2"/>
  <c r="O2" i="2"/>
  <c r="O6" i="2"/>
  <c r="P32" i="2"/>
  <c r="P7" i="2"/>
  <c r="T12" i="1"/>
  <c r="R22" i="2" s="1"/>
  <c r="O31" i="2"/>
  <c r="S5" i="1"/>
  <c r="P6" i="2" s="1"/>
  <c r="R26" i="2"/>
  <c r="R1" i="2"/>
  <c r="W11" i="1"/>
  <c r="T21" i="2" s="1"/>
  <c r="R7" i="2"/>
  <c r="R32" i="2"/>
  <c r="Q7" i="2"/>
  <c r="Q32" i="2"/>
  <c r="V6" i="1"/>
  <c r="T14" i="1"/>
  <c r="Q31" i="2" s="1"/>
  <c r="V4" i="1"/>
  <c r="V12" i="1"/>
  <c r="S22" i="2" s="1"/>
  <c r="T17" i="2" l="1"/>
  <c r="O12" i="2"/>
  <c r="T27" i="2"/>
  <c r="P11" i="2"/>
  <c r="P2" i="2"/>
  <c r="S26" i="2"/>
  <c r="S1" i="2"/>
  <c r="S32" i="2"/>
  <c r="S7" i="2"/>
  <c r="S10" i="1"/>
  <c r="T10" i="1" s="1"/>
  <c r="Q22" i="2"/>
  <c r="W12" i="1"/>
  <c r="T22" i="2" s="1"/>
  <c r="W4" i="1"/>
  <c r="T1" i="2" s="1"/>
  <c r="X4" i="1"/>
  <c r="T5" i="1"/>
  <c r="Q2" i="2" s="1"/>
  <c r="R31" i="2"/>
  <c r="V14" i="1"/>
  <c r="X11" i="1"/>
  <c r="U21" i="2" s="1"/>
  <c r="W6" i="1"/>
  <c r="X6" i="1" s="1"/>
  <c r="V10" i="1" l="1"/>
  <c r="Q16" i="2"/>
  <c r="T32" i="2"/>
  <c r="T7" i="2"/>
  <c r="S12" i="2"/>
  <c r="S16" i="2"/>
  <c r="V5" i="1"/>
  <c r="Q12" i="2"/>
  <c r="P12" i="2"/>
  <c r="P16" i="2"/>
  <c r="U17" i="2"/>
  <c r="T26" i="2"/>
  <c r="U27" i="2"/>
  <c r="Q11" i="2"/>
  <c r="Q6" i="2"/>
  <c r="S31" i="2"/>
  <c r="U1" i="2"/>
  <c r="U26" i="2"/>
  <c r="R11" i="2"/>
  <c r="R2" i="2"/>
  <c r="R6" i="2"/>
  <c r="U32" i="2"/>
  <c r="U7" i="2"/>
  <c r="X12" i="1"/>
  <c r="U22" i="2" s="1"/>
  <c r="Y11" i="1"/>
  <c r="V27" i="2" s="1"/>
  <c r="Y4" i="1"/>
  <c r="V26" i="2" s="1"/>
  <c r="Y6" i="1"/>
  <c r="V32" i="2" s="1"/>
  <c r="R12" i="2"/>
  <c r="R16" i="2"/>
  <c r="W10" i="1"/>
  <c r="T16" i="2" s="1"/>
  <c r="W14" i="1"/>
  <c r="T31" i="2" s="1"/>
  <c r="V1" i="2" l="1"/>
  <c r="V21" i="2"/>
  <c r="V17" i="2"/>
  <c r="T12" i="2"/>
  <c r="V7" i="2"/>
  <c r="W5" i="1"/>
  <c r="X5" i="1" s="1"/>
  <c r="Y5" i="1" s="1"/>
  <c r="S11" i="2"/>
  <c r="S2" i="2"/>
  <c r="S6" i="2"/>
  <c r="X14" i="1"/>
  <c r="U31" i="2" s="1"/>
  <c r="V29" i="2"/>
  <c r="V28" i="2" s="1"/>
  <c r="U29" i="2" s="1"/>
  <c r="Y12" i="1"/>
  <c r="V22" i="2" s="1"/>
  <c r="V24" i="2" s="1"/>
  <c r="V23" i="2" s="1"/>
  <c r="X10" i="1"/>
  <c r="U16" i="2" s="1"/>
  <c r="V11" i="2" l="1"/>
  <c r="V2" i="2"/>
  <c r="V4" i="2" s="1"/>
  <c r="V3" i="2" s="1"/>
  <c r="V6" i="2"/>
  <c r="U12" i="2"/>
  <c r="T2" i="2"/>
  <c r="T11" i="2"/>
  <c r="T6" i="2"/>
  <c r="U11" i="2"/>
  <c r="U6" i="2"/>
  <c r="U2" i="2"/>
  <c r="U3" i="2" s="1"/>
  <c r="U24" i="2"/>
  <c r="U23" i="2"/>
  <c r="Y10" i="1"/>
  <c r="V16" i="2" s="1"/>
  <c r="V19" i="2" s="1"/>
  <c r="V18" i="2" s="1"/>
  <c r="U19" i="2" s="1"/>
  <c r="U28" i="2"/>
  <c r="Y14" i="1"/>
  <c r="V31" i="2" s="1"/>
  <c r="V34" i="2" s="1"/>
  <c r="V33" i="2" s="1"/>
  <c r="U33" i="2" l="1"/>
  <c r="U34" i="2"/>
  <c r="V9" i="2"/>
  <c r="V8" i="2" s="1"/>
  <c r="V12" i="2"/>
  <c r="V14" i="2" s="1"/>
  <c r="V13" i="2" s="1"/>
  <c r="U13" i="2" s="1"/>
  <c r="U4" i="2"/>
  <c r="T33" i="2"/>
  <c r="T34" i="2"/>
  <c r="U18" i="2"/>
  <c r="T24" i="2"/>
  <c r="T23" i="2"/>
  <c r="T29" i="2"/>
  <c r="T28" i="2"/>
  <c r="T4" i="2"/>
  <c r="T3" i="2"/>
  <c r="U14" i="2" l="1"/>
  <c r="U9" i="2"/>
  <c r="U8" i="2"/>
  <c r="T9" i="2" s="1"/>
  <c r="T19" i="2"/>
  <c r="T18" i="2"/>
  <c r="S28" i="2"/>
  <c r="AG28" i="2" s="1"/>
  <c r="S29" i="2"/>
  <c r="S24" i="2"/>
  <c r="S23" i="2"/>
  <c r="AG23" i="2" s="1"/>
  <c r="S34" i="2"/>
  <c r="S33" i="2"/>
  <c r="AG33" i="2" s="1"/>
  <c r="S3" i="2"/>
  <c r="AG3" i="2" s="1"/>
  <c r="S4" i="2"/>
  <c r="T14" i="2"/>
  <c r="T13" i="2"/>
  <c r="T8" i="2" l="1"/>
  <c r="S9" i="2" s="1"/>
  <c r="Q29" i="2"/>
  <c r="Q28" i="2"/>
  <c r="Q3" i="2"/>
  <c r="Q4" i="2"/>
  <c r="S19" i="2"/>
  <c r="S18" i="2"/>
  <c r="AG18" i="2" s="1"/>
  <c r="Q33" i="2"/>
  <c r="Q34" i="2"/>
  <c r="Q24" i="2"/>
  <c r="Q23" i="2"/>
  <c r="S14" i="2"/>
  <c r="S13" i="2"/>
  <c r="AG13" i="2" s="1"/>
  <c r="S8" i="2" l="1"/>
  <c r="AG8" i="2" s="1"/>
  <c r="Q19" i="2"/>
  <c r="Q18" i="2"/>
  <c r="P4" i="2"/>
  <c r="P3" i="2"/>
  <c r="P33" i="2"/>
  <c r="P34" i="2"/>
  <c r="Q13" i="2"/>
  <c r="Q14" i="2"/>
  <c r="P28" i="2"/>
  <c r="P29" i="2"/>
  <c r="P24" i="2"/>
  <c r="P23" i="2"/>
  <c r="Q8" i="2" l="1"/>
  <c r="P9" i="2" s="1"/>
  <c r="Q9" i="2"/>
  <c r="P8" i="2"/>
  <c r="O9" i="2" s="1"/>
  <c r="O28" i="2"/>
  <c r="O29" i="2"/>
  <c r="P14" i="2"/>
  <c r="P13" i="2"/>
  <c r="O3" i="2"/>
  <c r="N3" i="2" s="1"/>
  <c r="L3" i="2" s="1"/>
  <c r="K3" i="2" s="1"/>
  <c r="J3" i="2" s="1"/>
  <c r="I3" i="2" s="1"/>
  <c r="O4" i="2"/>
  <c r="O33" i="2"/>
  <c r="O34" i="2"/>
  <c r="O24" i="2"/>
  <c r="O23" i="2"/>
  <c r="P19" i="2"/>
  <c r="P18" i="2"/>
  <c r="O8" i="2" l="1"/>
  <c r="N9" i="2" s="1"/>
  <c r="AG7" i="2" s="1"/>
  <c r="N4" i="2"/>
  <c r="N23" i="2"/>
  <c r="N24" i="2"/>
  <c r="AG22" i="2" s="1"/>
  <c r="N34" i="2"/>
  <c r="AG32" i="2" s="1"/>
  <c r="N33" i="2"/>
  <c r="O19" i="2"/>
  <c r="O18" i="2"/>
  <c r="G3" i="2"/>
  <c r="G4" i="2"/>
  <c r="O13" i="2"/>
  <c r="O14" i="2"/>
  <c r="N29" i="2"/>
  <c r="AG27" i="2" s="1"/>
  <c r="N28" i="2"/>
  <c r="L4" i="2" l="1"/>
  <c r="K4" i="2" s="1"/>
  <c r="J4" i="2" s="1"/>
  <c r="I4" i="2" s="1"/>
  <c r="AG2" i="2"/>
  <c r="N8" i="2"/>
  <c r="L9" i="2" s="1"/>
  <c r="N19" i="2"/>
  <c r="AG17" i="2" s="1"/>
  <c r="N18" i="2"/>
  <c r="L33" i="2"/>
  <c r="L34" i="2"/>
  <c r="N13" i="2"/>
  <c r="N14" i="2"/>
  <c r="AG12" i="2" s="1"/>
  <c r="F3" i="2"/>
  <c r="F4" i="2"/>
  <c r="L29" i="2"/>
  <c r="L28" i="2"/>
  <c r="L24" i="2"/>
  <c r="L23" i="2"/>
  <c r="L8" i="2" l="1"/>
  <c r="K9" i="2" s="1"/>
  <c r="K29" i="2"/>
  <c r="K28" i="2"/>
  <c r="E3" i="2"/>
  <c r="D3" i="2" s="1"/>
  <c r="AI3" i="2" s="1"/>
  <c r="AK2" i="2" s="1"/>
  <c r="E4" i="2"/>
  <c r="K34" i="2"/>
  <c r="K33" i="2"/>
  <c r="K24" i="2"/>
  <c r="K23" i="2"/>
  <c r="L13" i="2"/>
  <c r="L14" i="2"/>
  <c r="L19" i="2"/>
  <c r="L18" i="2"/>
  <c r="K8" i="2" l="1"/>
  <c r="J9" i="2" s="1"/>
  <c r="D4" i="2"/>
  <c r="J33" i="2"/>
  <c r="J34" i="2"/>
  <c r="K18" i="2"/>
  <c r="K19" i="2"/>
  <c r="J23" i="2"/>
  <c r="J24" i="2"/>
  <c r="K14" i="2"/>
  <c r="K13" i="2"/>
  <c r="J28" i="2"/>
  <c r="J29" i="2"/>
  <c r="X4" i="2" a="1"/>
  <c r="X4" i="2" l="1"/>
  <c r="AI2" i="2"/>
  <c r="AO1" i="2" s="1"/>
  <c r="AI1" i="2"/>
  <c r="J8" i="2"/>
  <c r="I9" i="2" s="1"/>
  <c r="I29" i="2"/>
  <c r="I28" i="2"/>
  <c r="J13" i="2"/>
  <c r="J14" i="2"/>
  <c r="I23" i="2"/>
  <c r="I24" i="2"/>
  <c r="J18" i="2"/>
  <c r="J19" i="2"/>
  <c r="I33" i="2"/>
  <c r="I34" i="2"/>
  <c r="I8" i="2" l="1"/>
  <c r="G9" i="2" s="1"/>
  <c r="G23" i="2"/>
  <c r="G24" i="2"/>
  <c r="G33" i="2"/>
  <c r="G34" i="2"/>
  <c r="I19" i="2"/>
  <c r="I18" i="2"/>
  <c r="I14" i="2"/>
  <c r="I13" i="2"/>
  <c r="G29" i="2"/>
  <c r="G28" i="2"/>
  <c r="G8" i="2" l="1"/>
  <c r="F9" i="2" s="1"/>
  <c r="G14" i="2"/>
  <c r="G13" i="2"/>
  <c r="F28" i="2"/>
  <c r="F29" i="2"/>
  <c r="G19" i="2"/>
  <c r="G18" i="2"/>
  <c r="F33" i="2"/>
  <c r="F34" i="2"/>
  <c r="F23" i="2"/>
  <c r="F24" i="2"/>
  <c r="F8" i="2" l="1"/>
  <c r="E9" i="2" s="1"/>
  <c r="E24" i="2"/>
  <c r="E23" i="2"/>
  <c r="F19" i="2"/>
  <c r="F18" i="2"/>
  <c r="E34" i="2"/>
  <c r="E33" i="2"/>
  <c r="E29" i="2"/>
  <c r="E28" i="2"/>
  <c r="F13" i="2"/>
  <c r="F14" i="2"/>
  <c r="E8" i="2" l="1"/>
  <c r="D9" i="2" s="1"/>
  <c r="E13" i="2"/>
  <c r="E14" i="2"/>
  <c r="D28" i="2"/>
  <c r="AI28" i="2" s="1"/>
  <c r="AK27" i="2" s="1"/>
  <c r="D29" i="2"/>
  <c r="D33" i="2"/>
  <c r="AI33" i="2" s="1"/>
  <c r="AK32" i="2" s="1"/>
  <c r="D34" i="2"/>
  <c r="E18" i="2"/>
  <c r="E19" i="2"/>
  <c r="D24" i="2"/>
  <c r="D23" i="2"/>
  <c r="AI23" i="2" s="1"/>
  <c r="AK22" i="2" s="1"/>
  <c r="X9" i="2" a="1"/>
  <c r="X34" i="2" a="1"/>
  <c r="X24" i="2" a="1"/>
  <c r="X29" i="2" a="1"/>
  <c r="X29" i="2" l="1"/>
  <c r="X24" i="2"/>
  <c r="X34" i="2"/>
  <c r="X9" i="2"/>
  <c r="AI27" i="2"/>
  <c r="AO26" i="2" s="1"/>
  <c r="AI26" i="2"/>
  <c r="AI22" i="2"/>
  <c r="AO21" i="2" s="1"/>
  <c r="AI21" i="2"/>
  <c r="AI32" i="2"/>
  <c r="AO31" i="2" s="1"/>
  <c r="AI31" i="2"/>
  <c r="AI6" i="2"/>
  <c r="AI7" i="2"/>
  <c r="AO6" i="2" s="1"/>
  <c r="D8" i="2"/>
  <c r="AI8" i="2" s="1"/>
  <c r="AK7" i="2" s="1"/>
  <c r="D19" i="2"/>
  <c r="D18" i="2"/>
  <c r="AI18" i="2" s="1"/>
  <c r="AK17" i="2" s="1"/>
  <c r="D14" i="2"/>
  <c r="D13" i="2"/>
  <c r="AI13" i="2" s="1"/>
  <c r="AK12" i="2" s="1"/>
  <c r="X19" i="2" a="1"/>
  <c r="X14" i="2" a="1"/>
  <c r="X14" i="2" l="1"/>
  <c r="X19" i="2"/>
  <c r="AI11" i="2"/>
  <c r="AI12" i="2"/>
  <c r="AO11" i="2" s="1"/>
  <c r="AI17" i="2"/>
  <c r="AO16" i="2" s="1"/>
  <c r="AI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<sst xmlns="http://schemas.openxmlformats.org/spreadsheetml/2006/main" count="257" uniqueCount="71">
  <si>
    <t>A =</t>
  </si>
  <si>
    <t>C =</t>
  </si>
  <si>
    <t>A + C =</t>
  </si>
  <si>
    <t>A + C + C =</t>
  </si>
  <si>
    <t>C - A =</t>
  </si>
  <si>
    <t>65536 - X4 =</t>
  </si>
  <si>
    <t>-X1 =</t>
  </si>
  <si>
    <t>-X2 =</t>
  </si>
  <si>
    <t>-X3 =</t>
  </si>
  <si>
    <t>-X4 =</t>
  </si>
  <si>
    <t>-X5 =</t>
  </si>
  <si>
    <t>-X6 =</t>
  </si>
  <si>
    <t>-B1 =</t>
  </si>
  <si>
    <t>-B2 =</t>
  </si>
  <si>
    <t>-B3 =</t>
  </si>
  <si>
    <t>-B4 =</t>
  </si>
  <si>
    <t>-B5 =</t>
  </si>
  <si>
    <t>-B6 =</t>
  </si>
  <si>
    <t>.</t>
  </si>
  <si>
    <t>+</t>
  </si>
  <si>
    <r>
      <rPr>
        <vertAlign val="subscript"/>
        <sz val="11"/>
        <color theme="1"/>
        <rFont val="Calibri"/>
        <family val="2"/>
        <charset val="204"/>
        <scheme val="minor"/>
      </rPr>
      <t>(2)</t>
    </r>
    <r>
      <rPr>
        <sz val="11"/>
        <color theme="1"/>
        <rFont val="Calibri"/>
        <family val="2"/>
        <charset val="204"/>
        <scheme val="minor"/>
      </rPr>
      <t xml:space="preserve"> =</t>
    </r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</si>
  <si>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</si>
  <si>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</si>
  <si>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</si>
  <si>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</si>
  <si>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</si>
  <si>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</si>
  <si>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</si>
  <si>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</si>
  <si>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</si>
  <si>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</si>
  <si>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</si>
  <si>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</si>
  <si>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VS</t>
  </si>
  <si>
    <t>X1</t>
  </si>
  <si>
    <t>X2</t>
  </si>
  <si>
    <t>=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</si>
  <si>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</si>
  <si>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</si>
  <si>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</si>
  <si>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</si>
  <si>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</si>
  <si>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</si>
  <si>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</si>
  <si>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</si>
  <si>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</si>
  <si>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</si>
  <si>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CF =</t>
  </si>
  <si>
    <t>PF =</t>
  </si>
  <si>
    <t>AF =</t>
  </si>
  <si>
    <t>ZF =</t>
  </si>
  <si>
    <t>SF =</t>
  </si>
  <si>
    <t>OF =</t>
  </si>
  <si>
    <t>При сложении</t>
  </si>
  <si>
    <t>слагаемых получено</t>
  </si>
  <si>
    <t>открытие 14.09.2018</t>
  </si>
  <si>
    <t>максимум 14.09.2018</t>
  </si>
  <si>
    <t>минимум 14.09.2018</t>
  </si>
  <si>
    <t>закрытие 14.09.2018</t>
  </si>
  <si>
    <t>открытие 16.10.2018</t>
  </si>
  <si>
    <t>максимум 16.10.2018</t>
  </si>
  <si>
    <t>минимум 16.10.2018</t>
  </si>
  <si>
    <t>закрытие 16.10.2018</t>
  </si>
  <si>
    <t>открытие 14.11.2018</t>
  </si>
  <si>
    <t>максимум 14.11.2018</t>
  </si>
  <si>
    <t>минимум 14.11.2018</t>
  </si>
  <si>
    <t>закрытие 14.11.2018</t>
  </si>
  <si>
    <t>открытие 14.12.2018</t>
  </si>
  <si>
    <t>максимум 14.12.2018</t>
  </si>
  <si>
    <t>минимум 14.12.2018</t>
  </si>
  <si>
    <t>закрытие 14.12.2018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</si>
</sst>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0" xfId="0" applyNumberFormat="1"/>
    <xf numFmtId="0" fontId="0" fillId="2" borderId="2" xfId="0" applyFill="1" applyBorder="1"/>
    <xf numFmtId="0" fontId="1" fillId="0" borderId="0" xfId="0" quotePrefix="1" applyNumberFormat="1" applyFont="1"/>
    <xf numFmtId="0" fontId="1" fillId="0" borderId="1" xfId="0" quotePrefix="1" applyNumberFormat="1" applyFont="1" applyBorder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/>
    </xf>
    <xf numFmtId="2" fontId="0" fillId="5" borderId="3" xfId="0" applyNumberFormat="1" applyFill="1" applyBorder="1"/>
    <xf numFmtId="2" fontId="0" fillId="0" borderId="3" xfId="0" applyNumberFormat="1" applyBorder="1"/>
    <xf numFmtId="2" fontId="0" fillId="0" borderId="0" xfId="0" applyNumberFormat="1"/>
  </cellXfs>
  <cellStyles count="1">
    <cellStyle name="Обычный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  <cx:data id="1">
      <cx:numDim type="val">
        <cx:f>_xlchart.v1.19</cx:f>
      </cx:numDim>
    </cx:data>
    <cx:data id="2">
      <cx:numDim type="val">
        <cx:f>_xlchart.v1.21</cx:f>
      </cx:numDim>
    </cx:data>
    <cx:data id="3">
      <cx:numDim type="val">
        <cx:f>_xlchart.v1.23</cx:f>
      </cx:numDim>
    </cx:data>
    <cx:data id="4">
      <cx:numDim type="val">
        <cx:f>_xlchart.v1.25</cx:f>
      </cx:numDim>
    </cx:data>
    <cx:data id="5">
      <cx:numDim type="val">
        <cx:f>_xlchart.v1.27</cx:f>
      </cx:numDim>
    </cx:data>
    <cx:data id="6">
      <cx:numDim type="val">
        <cx:f>_xlchart.v1.29</cx:f>
      </cx:numDim>
    </cx:data>
    <cx:data id="7">
      <cx:numDim type="val">
        <cx:f>_xlchart.v1.31</cx:f>
      </cx:numDim>
    </cx:data>
    <cx:data id="8">
      <cx:numDim type="val">
        <cx:f>_xlchart.v1.1</cx:f>
      </cx:numDim>
    </cx:data>
    <cx:data id="9">
      <cx:numDim type="val">
        <cx:f>_xlchart.v1.3</cx:f>
      </cx:numDim>
    </cx:data>
    <cx:data id="10">
      <cx:numDim type="val">
        <cx:f>_xlchart.v1.5</cx:f>
      </cx:numDim>
    </cx:data>
    <cx:data id="11">
      <cx:numDim type="val">
        <cx:f>_xlchart.v1.7</cx:f>
      </cx:numDim>
    </cx:data>
    <cx:data id="12">
      <cx:numDim type="val">
        <cx:f>_xlchart.v1.9</cx:f>
      </cx:numDim>
    </cx:data>
    <cx:data id="13">
      <cx:numDim type="val">
        <cx:f>_xlchart.v1.11</cx:f>
      </cx:numDim>
    </cx:data>
    <cx:data id="14">
      <cx:numDim type="val">
        <cx:f>_xlchart.v1.13</cx:f>
      </cx:numDim>
    </cx:data>
    <cx:data id="15">
      <cx:numDim type="val">
        <cx:f>_xlchart.v1.15</cx:f>
      </cx:numDim>
    </cx:data>
  </cx:chartData>
  <cx:chart>
    <cx:plotArea>
      <cx:plotAreaRegion>
        <cx:plotSurface>
          <cx:spPr>
            <a:ln>
              <a:solidFill>
                <a:schemeClr val="accent1"/>
              </a:solidFill>
            </a:ln>
          </cx:spPr>
        </cx:plotSurface>
        <cx:series layoutId="boxWhisker" uniqueId="{3F930EE9-1787-4F11-987E-F3AC93EA3FB8}" formatIdx="0">
          <cx:tx>
            <cx:txData>
              <cx:f>_xlchart.v1.16</cx:f>
              <cx:v>открытие 14.09.2018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072A22D-611D-45C3-84B3-D00B5445F2FB}" formatIdx="1">
          <cx:tx>
            <cx:txData>
              <cx:f>_xlchart.v1.18</cx:f>
              <cx:v>максимум 14.09.2018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03E80B7-1E67-4E09-9CA9-1E08D8933605}" formatIdx="2">
          <cx:tx>
            <cx:txData>
              <cx:f>_xlchart.v1.20</cx:f>
              <cx:v>минимум 14.09.2018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51F9E08C-4CF1-4339-A79A-079FB23AF1A6}" formatIdx="3">
          <cx:tx>
            <cx:txData>
              <cx:f>_xlchart.v1.22</cx:f>
              <cx:v>закрытие 14.09.2018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AD12ED62-DBD7-4E8F-89DC-CE17187AD3C2}" formatIdx="5">
          <cx:tx>
            <cx:txData>
              <cx:f>_xlchart.v1.24</cx:f>
              <cx:v>открытие 16.10.2018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A14A24CB-D1E6-400C-8198-EA3F62B652AD}" formatIdx="6">
          <cx:tx>
            <cx:txData>
              <cx:f>_xlchart.v1.26</cx:f>
              <cx:v>максимум 16.10.2018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6E074BD1-520F-49C2-B353-738A2CF9A019}" formatIdx="7">
          <cx:tx>
            <cx:txData>
              <cx:f>_xlchart.v1.28</cx:f>
              <cx:v>минимум 16.10.2018</cx:v>
            </cx:txData>
          </cx:tx>
          <cx:dataId val="6"/>
          <cx:layoutPr>
            <cx:visibility meanLine="0" meanMarker="1" nonoutliers="0" outliers="1"/>
            <cx:statistics quartileMethod="exclusive"/>
          </cx:layoutPr>
        </cx:series>
        <cx:series layoutId="boxWhisker" uniqueId="{8694CA59-306B-4C06-B033-6554BFDFBA7B}" formatIdx="8">
          <cx:tx>
            <cx:txData>
              <cx:f>_xlchart.v1.30</cx:f>
              <cx:v>закрытие 16.10.2018</cx:v>
            </cx:txData>
          </cx:tx>
          <cx:dataId val="7"/>
          <cx:layoutPr>
            <cx:visibility meanLine="0" meanMarker="1" nonoutliers="0" outliers="1"/>
            <cx:statistics quartileMethod="exclusive"/>
          </cx:layoutPr>
        </cx:series>
        <cx:series layoutId="boxWhisker" uniqueId="{CD9D1F94-F540-4FAC-B62E-7225811C0E15}" formatIdx="10">
          <cx:tx>
            <cx:txData>
              <cx:f>_xlchart.v1.0</cx:f>
              <cx:v>открытие 14.11.2018</cx:v>
            </cx:txData>
          </cx:tx>
          <cx:dataId val="8"/>
          <cx:layoutPr>
            <cx:visibility meanLine="0" meanMarker="1" nonoutliers="0" outliers="1"/>
            <cx:statistics quartileMethod="exclusive"/>
          </cx:layoutPr>
        </cx:series>
        <cx:series layoutId="boxWhisker" uniqueId="{787A5DBE-3DD1-498A-84E5-60E435E12721}" formatIdx="11">
          <cx:tx>
            <cx:txData>
              <cx:f>_xlchart.v1.2</cx:f>
              <cx:v>максимум 14.11.2018</cx:v>
            </cx:txData>
          </cx:tx>
          <cx:dataId val="9"/>
          <cx:layoutPr>
            <cx:visibility meanLine="0" meanMarker="1" nonoutliers="0" outliers="1"/>
            <cx:statistics quartileMethod="exclusive"/>
          </cx:layoutPr>
        </cx:series>
        <cx:series layoutId="boxWhisker" uniqueId="{2BDD8ED2-8E92-475B-A659-B54130ACE673}" formatIdx="12">
          <cx:tx>
            <cx:txData>
              <cx:f>_xlchart.v1.4</cx:f>
              <cx:v>минимум 14.11.2018</cx:v>
            </cx:txData>
          </cx:tx>
          <cx:dataId val="10"/>
          <cx:layoutPr>
            <cx:visibility meanLine="0" meanMarker="1" nonoutliers="0" outliers="1"/>
            <cx:statistics quartileMethod="exclusive"/>
          </cx:layoutPr>
        </cx:series>
        <cx:series layoutId="boxWhisker" uniqueId="{4407D92B-35E7-476A-8AE3-AF02CA3A1C7C}" formatIdx="13">
          <cx:tx>
            <cx:txData>
              <cx:f>_xlchart.v1.6</cx:f>
              <cx:v>закрытие 14.11.2018</cx:v>
            </cx:txData>
          </cx:tx>
          <cx:dataId val="11"/>
          <cx:layoutPr>
            <cx:visibility meanLine="0" meanMarker="1" nonoutliers="0" outliers="1"/>
            <cx:statistics quartileMethod="exclusive"/>
          </cx:layoutPr>
        </cx:series>
        <cx:series layoutId="boxWhisker" uniqueId="{B504C02F-BE08-44C8-AA24-D939A118E9AB}" formatIdx="15">
          <cx:tx>
            <cx:txData>
              <cx:f>_xlchart.v1.8</cx:f>
              <cx:v>открытие 14.12.2018</cx:v>
            </cx:txData>
          </cx:tx>
          <cx:dataId val="12"/>
          <cx:layoutPr>
            <cx:visibility meanLine="0" meanMarker="1" nonoutliers="0" outliers="1"/>
            <cx:statistics quartileMethod="exclusive"/>
          </cx:layoutPr>
        </cx:series>
        <cx:series layoutId="boxWhisker" uniqueId="{26A79456-6300-4741-BFE8-F86D995C7FAC}" formatIdx="16">
          <cx:tx>
            <cx:txData>
              <cx:f>_xlchart.v1.10</cx:f>
              <cx:v>максимум 14.12.2018</cx:v>
            </cx:txData>
          </cx:tx>
          <cx:dataId val="13"/>
          <cx:layoutPr>
            <cx:visibility meanLine="0" meanMarker="1" nonoutliers="0" outliers="1"/>
            <cx:statistics quartileMethod="exclusive"/>
          </cx:layoutPr>
        </cx:series>
        <cx:series layoutId="boxWhisker" uniqueId="{D91154EA-BE57-41E3-9496-B2C26D341A33}" formatIdx="17">
          <cx:tx>
            <cx:txData>
              <cx:f>_xlchart.v1.12</cx:f>
              <cx:v>минимум 14.12.2018</cx:v>
            </cx:txData>
          </cx:tx>
          <cx:dataId val="14"/>
          <cx:layoutPr>
            <cx:visibility meanLine="0" meanMarker="1" nonoutliers="0" outliers="1"/>
            <cx:statistics quartileMethod="exclusive"/>
          </cx:layoutPr>
        </cx:series>
        <cx:series layoutId="boxWhisker" uniqueId="{D7FDDD2B-8398-4601-A992-90B25A5BBF25}" formatIdx="18">
          <cx:tx>
            <cx:txData>
              <cx:f>_xlchart.v1.14</cx:f>
              <cx:v>закрытие 14.12.2018</cx:v>
            </cx:txData>
          </cx:tx>
          <cx:dataId val="1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ru-RU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11905</xdr:colOff>
      <xdr:row>0</xdr:row>
      <xdr:rowOff>15538</xdr:rowOff>
    </xdr:from>
    <xdr:to>
      <xdr:col>18</xdr:col>
      <xdr:colOff>23812</xdr:colOff>
      <xdr:row>53</xdr:row>
      <xdr:rowOff>11906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3B83D85-8B38-4679-B805-0C777665CC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05" y="15538"/>
              <a:ext cx="10984707" cy="100928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sim/OneDrive/&#1056;&#1072;&#1073;&#1086;&#1095;&#1080;&#1081;%20&#1089;&#1090;&#1086;&#1083;/&#1050;&#1085;&#1080;&#1075;&#1072;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S1" t="str">
            <v>открытие 14.09.2018</v>
          </cell>
          <cell r="T1" t="str">
            <v>максимум 14.09.2018</v>
          </cell>
          <cell r="U1" t="str">
            <v>минимум 14.09.2018</v>
          </cell>
          <cell r="V1" t="str">
            <v>закрытие 14.09.2018</v>
          </cell>
          <cell r="W1" t="str">
            <v>открытие 16.10.2018</v>
          </cell>
          <cell r="X1" t="str">
            <v>максимум 16.10.2018</v>
          </cell>
          <cell r="Y1" t="str">
            <v>минимум 16.10.2018</v>
          </cell>
          <cell r="Z1" t="str">
            <v>закрытие 16.10.2018</v>
          </cell>
          <cell r="AA1" t="str">
            <v>открытие 14.11.2018</v>
          </cell>
          <cell r="AB1" t="str">
            <v>максимум 14.11.2018</v>
          </cell>
          <cell r="AC1" t="str">
            <v>минимум 14.11.2018</v>
          </cell>
          <cell r="AD1" t="str">
            <v>закрытие 14.11.2018</v>
          </cell>
          <cell r="AE1" t="str">
            <v>открытие 14.12.2018</v>
          </cell>
          <cell r="AF1" t="str">
            <v>максимум 14.12.2018</v>
          </cell>
          <cell r="AG1" t="str">
            <v>минимум 14.12.2018</v>
          </cell>
          <cell r="AH1" t="str">
            <v>закрытие 14.12.2018</v>
          </cell>
        </row>
        <row r="2">
          <cell r="S2">
            <v>107290</v>
          </cell>
          <cell r="T2">
            <v>107770</v>
          </cell>
          <cell r="U2">
            <v>107290</v>
          </cell>
          <cell r="V2">
            <v>107720</v>
          </cell>
          <cell r="W2">
            <v>114540</v>
          </cell>
          <cell r="X2">
            <v>115140</v>
          </cell>
          <cell r="Y2">
            <v>114540</v>
          </cell>
          <cell r="Z2">
            <v>114890</v>
          </cell>
          <cell r="AA2">
            <v>109390</v>
          </cell>
          <cell r="AB2">
            <v>109600</v>
          </cell>
          <cell r="AC2">
            <v>108960</v>
          </cell>
          <cell r="AD2">
            <v>109000</v>
          </cell>
          <cell r="AE2">
            <v>112880</v>
          </cell>
          <cell r="AF2">
            <v>112880</v>
          </cell>
          <cell r="AG2">
            <v>112040</v>
          </cell>
          <cell r="AH2">
            <v>112300</v>
          </cell>
        </row>
        <row r="3">
          <cell r="S3">
            <v>107760</v>
          </cell>
          <cell r="T3">
            <v>107800</v>
          </cell>
          <cell r="U3">
            <v>107690</v>
          </cell>
          <cell r="V3">
            <v>107800</v>
          </cell>
          <cell r="W3">
            <v>114870</v>
          </cell>
          <cell r="X3">
            <v>115020</v>
          </cell>
          <cell r="Y3">
            <v>114800</v>
          </cell>
          <cell r="Z3">
            <v>114820</v>
          </cell>
          <cell r="AA3">
            <v>109010</v>
          </cell>
          <cell r="AB3">
            <v>109260</v>
          </cell>
          <cell r="AC3">
            <v>108840</v>
          </cell>
          <cell r="AD3">
            <v>108860</v>
          </cell>
          <cell r="AE3">
            <v>112300</v>
          </cell>
          <cell r="AF3">
            <v>112320</v>
          </cell>
          <cell r="AG3">
            <v>112100</v>
          </cell>
          <cell r="AH3">
            <v>112130</v>
          </cell>
        </row>
        <row r="4">
          <cell r="S4">
            <v>107780</v>
          </cell>
          <cell r="T4">
            <v>107780</v>
          </cell>
          <cell r="U4">
            <v>107610</v>
          </cell>
          <cell r="V4">
            <v>107610</v>
          </cell>
          <cell r="W4">
            <v>114810</v>
          </cell>
          <cell r="X4">
            <v>114820</v>
          </cell>
          <cell r="Y4">
            <v>114660</v>
          </cell>
          <cell r="Z4">
            <v>114720</v>
          </cell>
          <cell r="AA4">
            <v>108850</v>
          </cell>
          <cell r="AB4">
            <v>108960</v>
          </cell>
          <cell r="AC4">
            <v>108770</v>
          </cell>
          <cell r="AD4">
            <v>108890</v>
          </cell>
          <cell r="AE4">
            <v>112120</v>
          </cell>
          <cell r="AF4">
            <v>112200</v>
          </cell>
          <cell r="AG4">
            <v>112000</v>
          </cell>
          <cell r="AH4">
            <v>112200</v>
          </cell>
        </row>
        <row r="5">
          <cell r="S5">
            <v>107600</v>
          </cell>
          <cell r="T5">
            <v>107670</v>
          </cell>
          <cell r="U5">
            <v>107570</v>
          </cell>
          <cell r="V5">
            <v>107650</v>
          </cell>
          <cell r="W5">
            <v>114720</v>
          </cell>
          <cell r="X5">
            <v>114730</v>
          </cell>
          <cell r="Y5">
            <v>114550</v>
          </cell>
          <cell r="Z5">
            <v>114580</v>
          </cell>
          <cell r="AA5">
            <v>108890</v>
          </cell>
          <cell r="AB5">
            <v>109220</v>
          </cell>
          <cell r="AC5">
            <v>108870</v>
          </cell>
          <cell r="AD5">
            <v>109200</v>
          </cell>
          <cell r="AE5">
            <v>112180</v>
          </cell>
          <cell r="AF5">
            <v>112200</v>
          </cell>
          <cell r="AG5">
            <v>112120</v>
          </cell>
          <cell r="AH5">
            <v>112130</v>
          </cell>
        </row>
        <row r="6">
          <cell r="S6">
            <v>107650</v>
          </cell>
          <cell r="T6">
            <v>107650</v>
          </cell>
          <cell r="U6">
            <v>107490</v>
          </cell>
          <cell r="V6">
            <v>107570</v>
          </cell>
          <cell r="W6">
            <v>114570</v>
          </cell>
          <cell r="X6">
            <v>114680</v>
          </cell>
          <cell r="Y6">
            <v>114570</v>
          </cell>
          <cell r="Z6">
            <v>114650</v>
          </cell>
          <cell r="AA6">
            <v>109210</v>
          </cell>
          <cell r="AB6">
            <v>109210</v>
          </cell>
          <cell r="AC6">
            <v>109020</v>
          </cell>
          <cell r="AD6">
            <v>109020</v>
          </cell>
          <cell r="AE6">
            <v>112120</v>
          </cell>
          <cell r="AF6">
            <v>112140</v>
          </cell>
          <cell r="AG6">
            <v>111940</v>
          </cell>
          <cell r="AH6">
            <v>112010</v>
          </cell>
        </row>
        <row r="7">
          <cell r="S7">
            <v>107600</v>
          </cell>
          <cell r="T7">
            <v>107600</v>
          </cell>
          <cell r="U7">
            <v>107550</v>
          </cell>
          <cell r="V7">
            <v>107570</v>
          </cell>
          <cell r="W7">
            <v>114660</v>
          </cell>
          <cell r="X7">
            <v>114710</v>
          </cell>
          <cell r="Y7">
            <v>114630</v>
          </cell>
          <cell r="Z7">
            <v>114710</v>
          </cell>
          <cell r="AA7">
            <v>109030</v>
          </cell>
          <cell r="AB7">
            <v>109190</v>
          </cell>
          <cell r="AC7">
            <v>108910</v>
          </cell>
          <cell r="AD7">
            <v>109150</v>
          </cell>
          <cell r="AE7">
            <v>112020</v>
          </cell>
          <cell r="AF7">
            <v>112020</v>
          </cell>
          <cell r="AG7">
            <v>111930</v>
          </cell>
          <cell r="AH7">
            <v>112000</v>
          </cell>
        </row>
        <row r="8">
          <cell r="S8">
            <v>107600</v>
          </cell>
          <cell r="T8">
            <v>107660</v>
          </cell>
          <cell r="U8">
            <v>107600</v>
          </cell>
          <cell r="V8">
            <v>107600</v>
          </cell>
          <cell r="W8">
            <v>114710</v>
          </cell>
          <cell r="X8">
            <v>114730</v>
          </cell>
          <cell r="Y8">
            <v>114410</v>
          </cell>
          <cell r="Z8">
            <v>114450</v>
          </cell>
          <cell r="AA8">
            <v>109160</v>
          </cell>
          <cell r="AB8">
            <v>109180</v>
          </cell>
          <cell r="AC8">
            <v>109020</v>
          </cell>
          <cell r="AD8">
            <v>109020</v>
          </cell>
          <cell r="AE8">
            <v>112000</v>
          </cell>
          <cell r="AF8">
            <v>112080</v>
          </cell>
          <cell r="AG8">
            <v>111990</v>
          </cell>
          <cell r="AH8">
            <v>112040</v>
          </cell>
        </row>
        <row r="9">
          <cell r="S9">
            <v>107620</v>
          </cell>
          <cell r="T9">
            <v>107670</v>
          </cell>
          <cell r="U9">
            <v>107620</v>
          </cell>
          <cell r="V9">
            <v>107670</v>
          </cell>
          <cell r="W9">
            <v>114460</v>
          </cell>
          <cell r="X9">
            <v>114550</v>
          </cell>
          <cell r="Y9">
            <v>114390</v>
          </cell>
          <cell r="Z9">
            <v>114550</v>
          </cell>
          <cell r="AA9">
            <v>109010</v>
          </cell>
          <cell r="AB9">
            <v>109270</v>
          </cell>
          <cell r="AC9">
            <v>109010</v>
          </cell>
          <cell r="AD9">
            <v>109110</v>
          </cell>
          <cell r="AE9">
            <v>112040</v>
          </cell>
          <cell r="AF9">
            <v>112100</v>
          </cell>
          <cell r="AG9">
            <v>112020</v>
          </cell>
          <cell r="AH9">
            <v>112100</v>
          </cell>
        </row>
        <row r="10">
          <cell r="S10">
            <v>107640</v>
          </cell>
          <cell r="T10">
            <v>107690</v>
          </cell>
          <cell r="U10">
            <v>107640</v>
          </cell>
          <cell r="V10">
            <v>107690</v>
          </cell>
          <cell r="W10">
            <v>114550</v>
          </cell>
          <cell r="X10">
            <v>114580</v>
          </cell>
          <cell r="Y10">
            <v>114430</v>
          </cell>
          <cell r="Z10">
            <v>114480</v>
          </cell>
          <cell r="AA10">
            <v>109110</v>
          </cell>
          <cell r="AB10">
            <v>109190</v>
          </cell>
          <cell r="AC10">
            <v>109090</v>
          </cell>
          <cell r="AD10">
            <v>109130</v>
          </cell>
          <cell r="AE10">
            <v>112090</v>
          </cell>
          <cell r="AF10">
            <v>112090</v>
          </cell>
          <cell r="AG10">
            <v>112050</v>
          </cell>
          <cell r="AH10">
            <v>112080</v>
          </cell>
        </row>
        <row r="11">
          <cell r="S11">
            <v>107650</v>
          </cell>
          <cell r="T11">
            <v>107650</v>
          </cell>
          <cell r="U11">
            <v>107650</v>
          </cell>
          <cell r="V11">
            <v>107650</v>
          </cell>
          <cell r="W11">
            <v>114470</v>
          </cell>
          <cell r="X11">
            <v>114540</v>
          </cell>
          <cell r="Y11">
            <v>114470</v>
          </cell>
          <cell r="Z11">
            <v>114500</v>
          </cell>
          <cell r="AA11">
            <v>109130</v>
          </cell>
          <cell r="AB11">
            <v>109180</v>
          </cell>
          <cell r="AC11">
            <v>109060</v>
          </cell>
          <cell r="AD11">
            <v>109120</v>
          </cell>
          <cell r="AE11">
            <v>112050</v>
          </cell>
          <cell r="AF11">
            <v>112100</v>
          </cell>
          <cell r="AG11">
            <v>112040</v>
          </cell>
          <cell r="AH11">
            <v>112090</v>
          </cell>
        </row>
        <row r="12">
          <cell r="S12">
            <v>107660</v>
          </cell>
          <cell r="T12">
            <v>107660</v>
          </cell>
          <cell r="U12">
            <v>107610</v>
          </cell>
          <cell r="V12">
            <v>107640</v>
          </cell>
          <cell r="W12">
            <v>114500</v>
          </cell>
          <cell r="X12">
            <v>114770</v>
          </cell>
          <cell r="Y12">
            <v>114470</v>
          </cell>
          <cell r="Z12">
            <v>114770</v>
          </cell>
          <cell r="AA12">
            <v>109130</v>
          </cell>
          <cell r="AB12">
            <v>109150</v>
          </cell>
          <cell r="AC12">
            <v>109020</v>
          </cell>
          <cell r="AD12">
            <v>109090</v>
          </cell>
          <cell r="AE12">
            <v>112080</v>
          </cell>
          <cell r="AF12">
            <v>112090</v>
          </cell>
          <cell r="AG12">
            <v>112020</v>
          </cell>
          <cell r="AH12">
            <v>112070</v>
          </cell>
        </row>
        <row r="13">
          <cell r="S13">
            <v>107650</v>
          </cell>
          <cell r="T13">
            <v>107650</v>
          </cell>
          <cell r="U13">
            <v>107650</v>
          </cell>
          <cell r="V13">
            <v>107650</v>
          </cell>
          <cell r="W13">
            <v>114760</v>
          </cell>
          <cell r="X13">
            <v>114810</v>
          </cell>
          <cell r="Y13">
            <v>114690</v>
          </cell>
          <cell r="Z13">
            <v>114740</v>
          </cell>
          <cell r="AA13">
            <v>109080</v>
          </cell>
          <cell r="AB13">
            <v>109230</v>
          </cell>
          <cell r="AC13">
            <v>109060</v>
          </cell>
          <cell r="AD13">
            <v>109200</v>
          </cell>
          <cell r="AE13">
            <v>112060</v>
          </cell>
          <cell r="AF13">
            <v>112120</v>
          </cell>
          <cell r="AG13">
            <v>112030</v>
          </cell>
          <cell r="AH13">
            <v>112110</v>
          </cell>
        </row>
        <row r="14">
          <cell r="S14">
            <v>107660</v>
          </cell>
          <cell r="T14">
            <v>107710</v>
          </cell>
          <cell r="U14">
            <v>107660</v>
          </cell>
          <cell r="V14">
            <v>107710</v>
          </cell>
          <cell r="W14">
            <v>114740</v>
          </cell>
          <cell r="X14">
            <v>114780</v>
          </cell>
          <cell r="Y14">
            <v>114650</v>
          </cell>
          <cell r="Z14">
            <v>114680</v>
          </cell>
          <cell r="AA14">
            <v>109190</v>
          </cell>
          <cell r="AB14">
            <v>109270</v>
          </cell>
          <cell r="AC14">
            <v>109110</v>
          </cell>
          <cell r="AD14">
            <v>109110</v>
          </cell>
          <cell r="AE14">
            <v>112110</v>
          </cell>
          <cell r="AF14">
            <v>112110</v>
          </cell>
          <cell r="AG14">
            <v>112060</v>
          </cell>
          <cell r="AH14">
            <v>112080</v>
          </cell>
        </row>
        <row r="15">
          <cell r="S15">
            <v>107750</v>
          </cell>
          <cell r="T15">
            <v>107850</v>
          </cell>
          <cell r="U15">
            <v>107740</v>
          </cell>
          <cell r="V15">
            <v>107850</v>
          </cell>
          <cell r="W15">
            <v>114670</v>
          </cell>
          <cell r="X15">
            <v>114710</v>
          </cell>
          <cell r="Y15">
            <v>114530</v>
          </cell>
          <cell r="Z15">
            <v>114590</v>
          </cell>
          <cell r="AA15">
            <v>109110</v>
          </cell>
          <cell r="AB15">
            <v>109110</v>
          </cell>
          <cell r="AC15">
            <v>108960</v>
          </cell>
          <cell r="AD15">
            <v>109060</v>
          </cell>
          <cell r="AE15">
            <v>112070</v>
          </cell>
          <cell r="AF15">
            <v>112070</v>
          </cell>
          <cell r="AG15">
            <v>112000</v>
          </cell>
          <cell r="AH15">
            <v>112000</v>
          </cell>
        </row>
        <row r="16">
          <cell r="S16">
            <v>107880</v>
          </cell>
          <cell r="T16">
            <v>107900</v>
          </cell>
          <cell r="U16">
            <v>107850</v>
          </cell>
          <cell r="V16">
            <v>107880</v>
          </cell>
          <cell r="W16">
            <v>114580</v>
          </cell>
          <cell r="X16">
            <v>114660</v>
          </cell>
          <cell r="Y16">
            <v>114550</v>
          </cell>
          <cell r="Z16">
            <v>114580</v>
          </cell>
          <cell r="AA16">
            <v>109070</v>
          </cell>
          <cell r="AB16">
            <v>109070</v>
          </cell>
          <cell r="AC16">
            <v>108950</v>
          </cell>
          <cell r="AD16">
            <v>108950</v>
          </cell>
          <cell r="AE16">
            <v>112000</v>
          </cell>
          <cell r="AF16">
            <v>112010</v>
          </cell>
          <cell r="AG16">
            <v>111960</v>
          </cell>
          <cell r="AH16">
            <v>111970</v>
          </cell>
        </row>
        <row r="17">
          <cell r="S17">
            <v>107900</v>
          </cell>
          <cell r="T17">
            <v>107910</v>
          </cell>
          <cell r="U17">
            <v>107790</v>
          </cell>
          <cell r="V17">
            <v>107860</v>
          </cell>
          <cell r="W17">
            <v>114590</v>
          </cell>
          <cell r="X17">
            <v>114640</v>
          </cell>
          <cell r="Y17">
            <v>114520</v>
          </cell>
          <cell r="Z17">
            <v>114610</v>
          </cell>
          <cell r="AA17">
            <v>108950</v>
          </cell>
          <cell r="AB17">
            <v>109010</v>
          </cell>
          <cell r="AC17">
            <v>108910</v>
          </cell>
          <cell r="AD17">
            <v>108950</v>
          </cell>
          <cell r="AE17">
            <v>111960</v>
          </cell>
          <cell r="AF17">
            <v>112050</v>
          </cell>
          <cell r="AG17">
            <v>111930</v>
          </cell>
          <cell r="AH17">
            <v>112050</v>
          </cell>
        </row>
        <row r="18">
          <cell r="S18">
            <v>107880</v>
          </cell>
          <cell r="T18">
            <v>107910</v>
          </cell>
          <cell r="U18">
            <v>107870</v>
          </cell>
          <cell r="V18">
            <v>107910</v>
          </cell>
          <cell r="W18">
            <v>114600</v>
          </cell>
          <cell r="X18">
            <v>114670</v>
          </cell>
          <cell r="Y18">
            <v>114590</v>
          </cell>
          <cell r="Z18">
            <v>114640</v>
          </cell>
          <cell r="AA18">
            <v>108940</v>
          </cell>
          <cell r="AB18">
            <v>109040</v>
          </cell>
          <cell r="AC18">
            <v>108910</v>
          </cell>
          <cell r="AD18">
            <v>109020</v>
          </cell>
          <cell r="AE18">
            <v>112050</v>
          </cell>
          <cell r="AF18">
            <v>112060</v>
          </cell>
          <cell r="AG18">
            <v>111970</v>
          </cell>
          <cell r="AH18">
            <v>112000</v>
          </cell>
        </row>
        <row r="19">
          <cell r="S19">
            <v>107920</v>
          </cell>
          <cell r="T19">
            <v>107990</v>
          </cell>
          <cell r="U19">
            <v>107920</v>
          </cell>
          <cell r="V19">
            <v>107950</v>
          </cell>
          <cell r="W19">
            <v>114640</v>
          </cell>
          <cell r="X19">
            <v>114800</v>
          </cell>
          <cell r="Y19">
            <v>114630</v>
          </cell>
          <cell r="Z19">
            <v>114740</v>
          </cell>
          <cell r="AA19">
            <v>109030</v>
          </cell>
          <cell r="AB19">
            <v>109120</v>
          </cell>
          <cell r="AC19">
            <v>108990</v>
          </cell>
          <cell r="AD19">
            <v>109030</v>
          </cell>
          <cell r="AE19">
            <v>112000</v>
          </cell>
          <cell r="AF19">
            <v>112060</v>
          </cell>
          <cell r="AG19">
            <v>111990</v>
          </cell>
          <cell r="AH19">
            <v>112060</v>
          </cell>
        </row>
        <row r="20">
          <cell r="S20">
            <v>107930</v>
          </cell>
          <cell r="T20">
            <v>107930</v>
          </cell>
          <cell r="U20">
            <v>107780</v>
          </cell>
          <cell r="V20">
            <v>107850</v>
          </cell>
          <cell r="W20">
            <v>114750</v>
          </cell>
          <cell r="X20">
            <v>114820</v>
          </cell>
          <cell r="Y20">
            <v>114740</v>
          </cell>
          <cell r="Z20">
            <v>114790</v>
          </cell>
          <cell r="AA20">
            <v>109020</v>
          </cell>
          <cell r="AB20">
            <v>109090</v>
          </cell>
          <cell r="AC20">
            <v>108960</v>
          </cell>
          <cell r="AD20">
            <v>109090</v>
          </cell>
          <cell r="AE20">
            <v>112040</v>
          </cell>
          <cell r="AF20">
            <v>112060</v>
          </cell>
          <cell r="AG20">
            <v>111990</v>
          </cell>
          <cell r="AH20">
            <v>112020</v>
          </cell>
        </row>
        <row r="21">
          <cell r="S21">
            <v>107870</v>
          </cell>
          <cell r="T21">
            <v>107890</v>
          </cell>
          <cell r="U21">
            <v>107810</v>
          </cell>
          <cell r="V21">
            <v>107820</v>
          </cell>
          <cell r="W21">
            <v>114790</v>
          </cell>
          <cell r="X21">
            <v>114840</v>
          </cell>
          <cell r="Y21">
            <v>114750</v>
          </cell>
          <cell r="Z21">
            <v>114780</v>
          </cell>
          <cell r="AA21">
            <v>109080</v>
          </cell>
          <cell r="AB21">
            <v>109200</v>
          </cell>
          <cell r="AC21">
            <v>109050</v>
          </cell>
          <cell r="AD21">
            <v>109110</v>
          </cell>
          <cell r="AE21">
            <v>112000</v>
          </cell>
          <cell r="AF21">
            <v>112010</v>
          </cell>
          <cell r="AG21">
            <v>111870</v>
          </cell>
          <cell r="AH21">
            <v>111900</v>
          </cell>
        </row>
        <row r="22">
          <cell r="S22">
            <v>107890</v>
          </cell>
          <cell r="T22">
            <v>107890</v>
          </cell>
          <cell r="U22">
            <v>107840</v>
          </cell>
          <cell r="V22">
            <v>107840</v>
          </cell>
          <cell r="W22">
            <v>114780</v>
          </cell>
          <cell r="X22">
            <v>114830</v>
          </cell>
          <cell r="Y22">
            <v>114730</v>
          </cell>
          <cell r="Z22">
            <v>114810</v>
          </cell>
          <cell r="AA22">
            <v>109100</v>
          </cell>
          <cell r="AB22">
            <v>109160</v>
          </cell>
          <cell r="AC22">
            <v>109030</v>
          </cell>
          <cell r="AD22">
            <v>109150</v>
          </cell>
          <cell r="AE22">
            <v>111910</v>
          </cell>
          <cell r="AF22">
            <v>111960</v>
          </cell>
          <cell r="AG22">
            <v>111860</v>
          </cell>
          <cell r="AH22">
            <v>111910</v>
          </cell>
        </row>
        <row r="23">
          <cell r="S23">
            <v>107820</v>
          </cell>
          <cell r="T23">
            <v>107820</v>
          </cell>
          <cell r="U23">
            <v>107800</v>
          </cell>
          <cell r="V23">
            <v>107800</v>
          </cell>
          <cell r="W23">
            <v>114820</v>
          </cell>
          <cell r="X23">
            <v>114890</v>
          </cell>
          <cell r="Y23">
            <v>114740</v>
          </cell>
          <cell r="Z23">
            <v>114780</v>
          </cell>
          <cell r="AA23">
            <v>109150</v>
          </cell>
          <cell r="AB23">
            <v>109320</v>
          </cell>
          <cell r="AC23">
            <v>109130</v>
          </cell>
          <cell r="AD23">
            <v>109300</v>
          </cell>
          <cell r="AE23">
            <v>111900</v>
          </cell>
          <cell r="AF23">
            <v>111930</v>
          </cell>
          <cell r="AG23">
            <v>111860</v>
          </cell>
          <cell r="AH23">
            <v>111910</v>
          </cell>
        </row>
        <row r="24">
          <cell r="S24">
            <v>107780</v>
          </cell>
          <cell r="T24">
            <v>107820</v>
          </cell>
          <cell r="U24">
            <v>107780</v>
          </cell>
          <cell r="V24">
            <v>107820</v>
          </cell>
          <cell r="W24">
            <v>114770</v>
          </cell>
          <cell r="X24">
            <v>114810</v>
          </cell>
          <cell r="Y24">
            <v>114730</v>
          </cell>
          <cell r="Z24">
            <v>114800</v>
          </cell>
          <cell r="AA24">
            <v>109300</v>
          </cell>
          <cell r="AB24">
            <v>109400</v>
          </cell>
          <cell r="AC24">
            <v>109260</v>
          </cell>
          <cell r="AD24">
            <v>109270</v>
          </cell>
          <cell r="AE24">
            <v>111900</v>
          </cell>
          <cell r="AF24">
            <v>111920</v>
          </cell>
          <cell r="AG24">
            <v>111840</v>
          </cell>
          <cell r="AH24">
            <v>111840</v>
          </cell>
        </row>
        <row r="25">
          <cell r="S25">
            <v>107810</v>
          </cell>
          <cell r="T25">
            <v>107810</v>
          </cell>
          <cell r="U25">
            <v>107740</v>
          </cell>
          <cell r="V25">
            <v>107740</v>
          </cell>
          <cell r="W25">
            <v>114780</v>
          </cell>
          <cell r="X25">
            <v>114780</v>
          </cell>
          <cell r="Y25">
            <v>114670</v>
          </cell>
          <cell r="Z25">
            <v>114740</v>
          </cell>
          <cell r="AA25">
            <v>109280</v>
          </cell>
          <cell r="AB25">
            <v>109440</v>
          </cell>
          <cell r="AC25">
            <v>109280</v>
          </cell>
          <cell r="AD25">
            <v>109440</v>
          </cell>
          <cell r="AE25">
            <v>111840</v>
          </cell>
          <cell r="AF25">
            <v>111860</v>
          </cell>
          <cell r="AG25">
            <v>111780</v>
          </cell>
          <cell r="AH25">
            <v>111840</v>
          </cell>
        </row>
        <row r="26">
          <cell r="S26">
            <v>107720</v>
          </cell>
          <cell r="T26">
            <v>107720</v>
          </cell>
          <cell r="U26">
            <v>107560</v>
          </cell>
          <cell r="V26">
            <v>107560</v>
          </cell>
          <cell r="W26">
            <v>114740</v>
          </cell>
          <cell r="X26">
            <v>114820</v>
          </cell>
          <cell r="Y26">
            <v>114740</v>
          </cell>
          <cell r="Z26">
            <v>114770</v>
          </cell>
          <cell r="AA26">
            <v>109440</v>
          </cell>
          <cell r="AB26">
            <v>109440</v>
          </cell>
          <cell r="AC26">
            <v>109340</v>
          </cell>
          <cell r="AD26">
            <v>109340</v>
          </cell>
          <cell r="AE26">
            <v>111830</v>
          </cell>
          <cell r="AF26">
            <v>111860</v>
          </cell>
          <cell r="AG26">
            <v>111780</v>
          </cell>
          <cell r="AH26">
            <v>111790</v>
          </cell>
        </row>
        <row r="27">
          <cell r="S27">
            <v>107620</v>
          </cell>
          <cell r="T27">
            <v>107690</v>
          </cell>
          <cell r="U27">
            <v>107580</v>
          </cell>
          <cell r="V27">
            <v>107680</v>
          </cell>
          <cell r="W27">
            <v>114780</v>
          </cell>
          <cell r="X27">
            <v>114830</v>
          </cell>
          <cell r="Y27">
            <v>114720</v>
          </cell>
          <cell r="Z27">
            <v>114750</v>
          </cell>
          <cell r="AA27">
            <v>109340</v>
          </cell>
          <cell r="AB27">
            <v>109470</v>
          </cell>
          <cell r="AC27">
            <v>109330</v>
          </cell>
          <cell r="AD27">
            <v>109440</v>
          </cell>
          <cell r="AE27">
            <v>111780</v>
          </cell>
          <cell r="AF27">
            <v>111780</v>
          </cell>
          <cell r="AG27">
            <v>111560</v>
          </cell>
          <cell r="AH27">
            <v>111700</v>
          </cell>
        </row>
        <row r="28">
          <cell r="S28">
            <v>107690</v>
          </cell>
          <cell r="T28">
            <v>107750</v>
          </cell>
          <cell r="U28">
            <v>107690</v>
          </cell>
          <cell r="V28">
            <v>107750</v>
          </cell>
          <cell r="W28">
            <v>114750</v>
          </cell>
          <cell r="X28">
            <v>114840</v>
          </cell>
          <cell r="Y28">
            <v>114750</v>
          </cell>
          <cell r="Z28">
            <v>114830</v>
          </cell>
          <cell r="AA28">
            <v>109450</v>
          </cell>
          <cell r="AB28">
            <v>109550</v>
          </cell>
          <cell r="AC28">
            <v>109450</v>
          </cell>
          <cell r="AD28">
            <v>109530</v>
          </cell>
          <cell r="AE28">
            <v>111710</v>
          </cell>
          <cell r="AF28">
            <v>111740</v>
          </cell>
          <cell r="AG28">
            <v>111680</v>
          </cell>
          <cell r="AH28">
            <v>111700</v>
          </cell>
        </row>
        <row r="29">
          <cell r="S29">
            <v>107810</v>
          </cell>
          <cell r="T29">
            <v>107880</v>
          </cell>
          <cell r="U29">
            <v>107810</v>
          </cell>
          <cell r="V29">
            <v>107880</v>
          </cell>
          <cell r="W29">
            <v>114840</v>
          </cell>
          <cell r="X29">
            <v>114890</v>
          </cell>
          <cell r="Y29">
            <v>114770</v>
          </cell>
          <cell r="Z29">
            <v>114810</v>
          </cell>
          <cell r="AA29">
            <v>109530</v>
          </cell>
          <cell r="AB29">
            <v>109590</v>
          </cell>
          <cell r="AC29">
            <v>109500</v>
          </cell>
          <cell r="AD29">
            <v>109510</v>
          </cell>
          <cell r="AE29">
            <v>111700</v>
          </cell>
          <cell r="AF29">
            <v>111780</v>
          </cell>
          <cell r="AG29">
            <v>111690</v>
          </cell>
          <cell r="AH29">
            <v>111760</v>
          </cell>
        </row>
        <row r="30">
          <cell r="S30">
            <v>107870</v>
          </cell>
          <cell r="T30">
            <v>107940</v>
          </cell>
          <cell r="U30">
            <v>107820</v>
          </cell>
          <cell r="V30">
            <v>107940</v>
          </cell>
          <cell r="W30">
            <v>114810</v>
          </cell>
          <cell r="X30">
            <v>114990</v>
          </cell>
          <cell r="Y30">
            <v>114810</v>
          </cell>
          <cell r="Z30">
            <v>114940</v>
          </cell>
          <cell r="AA30">
            <v>109520</v>
          </cell>
          <cell r="AB30">
            <v>109580</v>
          </cell>
          <cell r="AC30">
            <v>109480</v>
          </cell>
          <cell r="AD30">
            <v>109490</v>
          </cell>
          <cell r="AE30">
            <v>111760</v>
          </cell>
          <cell r="AF30">
            <v>111800</v>
          </cell>
          <cell r="AG30">
            <v>111750</v>
          </cell>
          <cell r="AH30">
            <v>111790</v>
          </cell>
        </row>
        <row r="31">
          <cell r="S31">
            <v>107900</v>
          </cell>
          <cell r="T31">
            <v>107900</v>
          </cell>
          <cell r="U31">
            <v>107840</v>
          </cell>
          <cell r="V31">
            <v>107850</v>
          </cell>
          <cell r="W31">
            <v>114940</v>
          </cell>
          <cell r="X31">
            <v>114960</v>
          </cell>
          <cell r="Y31">
            <v>114840</v>
          </cell>
          <cell r="Z31">
            <v>114860</v>
          </cell>
          <cell r="AA31">
            <v>109490</v>
          </cell>
          <cell r="AB31">
            <v>109500</v>
          </cell>
          <cell r="AC31">
            <v>109350</v>
          </cell>
          <cell r="AD31">
            <v>109350</v>
          </cell>
          <cell r="AE31">
            <v>111790</v>
          </cell>
          <cell r="AF31">
            <v>111790</v>
          </cell>
          <cell r="AG31">
            <v>111730</v>
          </cell>
          <cell r="AH31">
            <v>111760</v>
          </cell>
        </row>
        <row r="32">
          <cell r="S32">
            <v>107840</v>
          </cell>
          <cell r="T32">
            <v>107840</v>
          </cell>
          <cell r="U32">
            <v>107780</v>
          </cell>
          <cell r="V32">
            <v>107780</v>
          </cell>
          <cell r="W32">
            <v>114870</v>
          </cell>
          <cell r="X32">
            <v>114960</v>
          </cell>
          <cell r="Y32">
            <v>114870</v>
          </cell>
          <cell r="Z32">
            <v>114960</v>
          </cell>
          <cell r="AA32">
            <v>109370</v>
          </cell>
          <cell r="AB32">
            <v>109370</v>
          </cell>
          <cell r="AC32">
            <v>109210</v>
          </cell>
          <cell r="AD32">
            <v>109230</v>
          </cell>
          <cell r="AE32">
            <v>111750</v>
          </cell>
          <cell r="AF32">
            <v>111780</v>
          </cell>
          <cell r="AG32">
            <v>111710</v>
          </cell>
          <cell r="AH32">
            <v>111770</v>
          </cell>
        </row>
        <row r="33">
          <cell r="S33">
            <v>107800</v>
          </cell>
          <cell r="T33">
            <v>107830</v>
          </cell>
          <cell r="U33">
            <v>107790</v>
          </cell>
          <cell r="V33">
            <v>107830</v>
          </cell>
          <cell r="W33">
            <v>114950</v>
          </cell>
          <cell r="X33">
            <v>114970</v>
          </cell>
          <cell r="Y33">
            <v>114890</v>
          </cell>
          <cell r="Z33">
            <v>114910</v>
          </cell>
          <cell r="AA33">
            <v>109220</v>
          </cell>
          <cell r="AB33">
            <v>109400</v>
          </cell>
          <cell r="AC33">
            <v>109210</v>
          </cell>
          <cell r="AD33">
            <v>109370</v>
          </cell>
          <cell r="AE33">
            <v>111770</v>
          </cell>
          <cell r="AF33">
            <v>111840</v>
          </cell>
          <cell r="AG33">
            <v>111750</v>
          </cell>
          <cell r="AH33">
            <v>111810</v>
          </cell>
        </row>
        <row r="34">
          <cell r="S34">
            <v>107820</v>
          </cell>
          <cell r="T34">
            <v>107900</v>
          </cell>
          <cell r="U34">
            <v>107820</v>
          </cell>
          <cell r="V34">
            <v>107900</v>
          </cell>
          <cell r="W34">
            <v>114910</v>
          </cell>
          <cell r="X34">
            <v>114940</v>
          </cell>
          <cell r="Y34">
            <v>114890</v>
          </cell>
          <cell r="Z34">
            <v>114920</v>
          </cell>
          <cell r="AA34">
            <v>109360</v>
          </cell>
          <cell r="AB34">
            <v>109410</v>
          </cell>
          <cell r="AC34">
            <v>109350</v>
          </cell>
          <cell r="AD34">
            <v>109400</v>
          </cell>
          <cell r="AE34">
            <v>111810</v>
          </cell>
          <cell r="AF34">
            <v>111820</v>
          </cell>
          <cell r="AG34">
            <v>111760</v>
          </cell>
          <cell r="AH34">
            <v>111780</v>
          </cell>
        </row>
        <row r="35">
          <cell r="S35">
            <v>107870</v>
          </cell>
          <cell r="T35">
            <v>107870</v>
          </cell>
          <cell r="U35">
            <v>107870</v>
          </cell>
          <cell r="V35">
            <v>107870</v>
          </cell>
          <cell r="W35">
            <v>114910</v>
          </cell>
          <cell r="X35">
            <v>114930</v>
          </cell>
          <cell r="Y35">
            <v>114890</v>
          </cell>
          <cell r="Z35">
            <v>114920</v>
          </cell>
          <cell r="AA35">
            <v>109390</v>
          </cell>
          <cell r="AB35">
            <v>109510</v>
          </cell>
          <cell r="AC35">
            <v>109370</v>
          </cell>
          <cell r="AD35">
            <v>109450</v>
          </cell>
          <cell r="AE35">
            <v>111780</v>
          </cell>
          <cell r="AF35">
            <v>111830</v>
          </cell>
          <cell r="AG35">
            <v>111770</v>
          </cell>
          <cell r="AH35">
            <v>111820</v>
          </cell>
        </row>
        <row r="36">
          <cell r="S36">
            <v>107880</v>
          </cell>
          <cell r="T36">
            <v>107940</v>
          </cell>
          <cell r="U36">
            <v>107880</v>
          </cell>
          <cell r="V36">
            <v>107940</v>
          </cell>
          <cell r="W36">
            <v>114920</v>
          </cell>
          <cell r="X36">
            <v>114990</v>
          </cell>
          <cell r="Y36">
            <v>114910</v>
          </cell>
          <cell r="Z36">
            <v>114990</v>
          </cell>
          <cell r="AA36">
            <v>109440</v>
          </cell>
          <cell r="AB36">
            <v>109500</v>
          </cell>
          <cell r="AC36">
            <v>109380</v>
          </cell>
          <cell r="AD36">
            <v>109420</v>
          </cell>
          <cell r="AE36">
            <v>111820</v>
          </cell>
          <cell r="AF36">
            <v>111830</v>
          </cell>
          <cell r="AG36">
            <v>111760</v>
          </cell>
          <cell r="AH36">
            <v>111790</v>
          </cell>
        </row>
        <row r="37">
          <cell r="S37">
            <v>107930</v>
          </cell>
          <cell r="T37">
            <v>108020</v>
          </cell>
          <cell r="U37">
            <v>107920</v>
          </cell>
          <cell r="V37">
            <v>108020</v>
          </cell>
          <cell r="W37">
            <v>114980</v>
          </cell>
          <cell r="X37">
            <v>114980</v>
          </cell>
          <cell r="Y37">
            <v>114890</v>
          </cell>
          <cell r="Z37">
            <v>114960</v>
          </cell>
          <cell r="AA37">
            <v>109410</v>
          </cell>
          <cell r="AB37">
            <v>109420</v>
          </cell>
          <cell r="AC37">
            <v>109350</v>
          </cell>
          <cell r="AD37">
            <v>109380</v>
          </cell>
          <cell r="AE37">
            <v>111790</v>
          </cell>
          <cell r="AF37">
            <v>111790</v>
          </cell>
          <cell r="AG37">
            <v>111670</v>
          </cell>
          <cell r="AH37">
            <v>111710</v>
          </cell>
        </row>
        <row r="38">
          <cell r="S38">
            <v>108000</v>
          </cell>
          <cell r="T38">
            <v>108000</v>
          </cell>
          <cell r="U38">
            <v>107910</v>
          </cell>
          <cell r="V38">
            <v>107920</v>
          </cell>
          <cell r="W38">
            <v>114950</v>
          </cell>
          <cell r="X38">
            <v>114980</v>
          </cell>
          <cell r="Y38">
            <v>114900</v>
          </cell>
          <cell r="Z38">
            <v>114970</v>
          </cell>
          <cell r="AA38">
            <v>109370</v>
          </cell>
          <cell r="AB38">
            <v>109410</v>
          </cell>
          <cell r="AC38">
            <v>109350</v>
          </cell>
          <cell r="AD38">
            <v>109360</v>
          </cell>
          <cell r="AE38">
            <v>111690</v>
          </cell>
          <cell r="AF38">
            <v>111760</v>
          </cell>
          <cell r="AG38">
            <v>111670</v>
          </cell>
          <cell r="AH38">
            <v>111690</v>
          </cell>
        </row>
        <row r="39">
          <cell r="S39">
            <v>107890</v>
          </cell>
          <cell r="T39">
            <v>107960</v>
          </cell>
          <cell r="U39">
            <v>107880</v>
          </cell>
          <cell r="V39">
            <v>107960</v>
          </cell>
          <cell r="W39">
            <v>114970</v>
          </cell>
          <cell r="X39">
            <v>114970</v>
          </cell>
          <cell r="Y39">
            <v>114870</v>
          </cell>
          <cell r="Z39">
            <v>114890</v>
          </cell>
          <cell r="AA39">
            <v>109360</v>
          </cell>
          <cell r="AB39">
            <v>109380</v>
          </cell>
          <cell r="AC39">
            <v>109330</v>
          </cell>
          <cell r="AD39">
            <v>109380</v>
          </cell>
          <cell r="AE39">
            <v>111690</v>
          </cell>
          <cell r="AF39">
            <v>111690</v>
          </cell>
          <cell r="AG39">
            <v>111510</v>
          </cell>
          <cell r="AH39">
            <v>111570</v>
          </cell>
        </row>
        <row r="40">
          <cell r="S40">
            <v>108000</v>
          </cell>
          <cell r="T40">
            <v>108090</v>
          </cell>
          <cell r="U40">
            <v>108000</v>
          </cell>
          <cell r="V40">
            <v>108020</v>
          </cell>
          <cell r="W40">
            <v>114880</v>
          </cell>
          <cell r="X40">
            <v>114900</v>
          </cell>
          <cell r="Y40">
            <v>114860</v>
          </cell>
          <cell r="Z40">
            <v>114900</v>
          </cell>
          <cell r="AA40">
            <v>109380</v>
          </cell>
          <cell r="AB40">
            <v>109460</v>
          </cell>
          <cell r="AC40">
            <v>109350</v>
          </cell>
          <cell r="AD40">
            <v>109380</v>
          </cell>
          <cell r="AE40">
            <v>111580</v>
          </cell>
          <cell r="AF40">
            <v>111690</v>
          </cell>
          <cell r="AG40">
            <v>111580</v>
          </cell>
          <cell r="AH40">
            <v>111660</v>
          </cell>
        </row>
        <row r="41">
          <cell r="S41">
            <v>108060</v>
          </cell>
          <cell r="T41">
            <v>108260</v>
          </cell>
          <cell r="U41">
            <v>108060</v>
          </cell>
          <cell r="V41">
            <v>108160</v>
          </cell>
          <cell r="W41">
            <v>114900</v>
          </cell>
          <cell r="X41">
            <v>114960</v>
          </cell>
          <cell r="Y41">
            <v>114880</v>
          </cell>
          <cell r="Z41">
            <v>114940</v>
          </cell>
          <cell r="AA41">
            <v>109390</v>
          </cell>
          <cell r="AB41">
            <v>109500</v>
          </cell>
          <cell r="AC41">
            <v>109380</v>
          </cell>
          <cell r="AD41">
            <v>109490</v>
          </cell>
          <cell r="AE41">
            <v>111660</v>
          </cell>
          <cell r="AF41">
            <v>111700</v>
          </cell>
          <cell r="AG41">
            <v>111630</v>
          </cell>
          <cell r="AH41">
            <v>111660</v>
          </cell>
        </row>
        <row r="42">
          <cell r="S42">
            <v>108190</v>
          </cell>
          <cell r="T42">
            <v>108230</v>
          </cell>
          <cell r="U42">
            <v>108170</v>
          </cell>
          <cell r="V42">
            <v>108190</v>
          </cell>
          <cell r="W42">
            <v>114940</v>
          </cell>
          <cell r="X42">
            <v>115020</v>
          </cell>
          <cell r="Y42">
            <v>114900</v>
          </cell>
          <cell r="Z42">
            <v>114980</v>
          </cell>
          <cell r="AA42">
            <v>109480</v>
          </cell>
          <cell r="AB42">
            <v>109490</v>
          </cell>
          <cell r="AC42">
            <v>109390</v>
          </cell>
          <cell r="AD42">
            <v>109420</v>
          </cell>
          <cell r="AE42">
            <v>111640</v>
          </cell>
          <cell r="AF42">
            <v>111720</v>
          </cell>
          <cell r="AG42">
            <v>111610</v>
          </cell>
          <cell r="AH42">
            <v>111700</v>
          </cell>
        </row>
        <row r="43">
          <cell r="S43">
            <v>108160</v>
          </cell>
          <cell r="T43">
            <v>108190</v>
          </cell>
          <cell r="U43">
            <v>108130</v>
          </cell>
          <cell r="V43">
            <v>108190</v>
          </cell>
          <cell r="W43">
            <v>114960</v>
          </cell>
          <cell r="X43">
            <v>114960</v>
          </cell>
          <cell r="Y43">
            <v>114700</v>
          </cell>
          <cell r="Z43">
            <v>114750</v>
          </cell>
          <cell r="AA43">
            <v>109420</v>
          </cell>
          <cell r="AB43">
            <v>109420</v>
          </cell>
          <cell r="AC43">
            <v>109340</v>
          </cell>
          <cell r="AD43">
            <v>109360</v>
          </cell>
          <cell r="AE43">
            <v>111700</v>
          </cell>
          <cell r="AF43">
            <v>111700</v>
          </cell>
          <cell r="AG43">
            <v>111650</v>
          </cell>
          <cell r="AH43">
            <v>111670</v>
          </cell>
        </row>
        <row r="44">
          <cell r="S44">
            <v>108150</v>
          </cell>
          <cell r="T44">
            <v>108150</v>
          </cell>
          <cell r="U44">
            <v>108080</v>
          </cell>
          <cell r="V44">
            <v>108100</v>
          </cell>
          <cell r="W44">
            <v>114750</v>
          </cell>
          <cell r="X44">
            <v>114780</v>
          </cell>
          <cell r="Y44">
            <v>114700</v>
          </cell>
          <cell r="Z44">
            <v>114730</v>
          </cell>
          <cell r="AA44">
            <v>109360</v>
          </cell>
          <cell r="AB44">
            <v>109400</v>
          </cell>
          <cell r="AC44">
            <v>109270</v>
          </cell>
          <cell r="AD44">
            <v>109290</v>
          </cell>
          <cell r="AE44">
            <v>111670</v>
          </cell>
          <cell r="AF44">
            <v>111750</v>
          </cell>
          <cell r="AG44">
            <v>111670</v>
          </cell>
          <cell r="AH44">
            <v>111720</v>
          </cell>
        </row>
        <row r="45">
          <cell r="S45">
            <v>108070</v>
          </cell>
          <cell r="T45">
            <v>108100</v>
          </cell>
          <cell r="U45">
            <v>108040</v>
          </cell>
          <cell r="V45">
            <v>108100</v>
          </cell>
          <cell r="W45">
            <v>114720</v>
          </cell>
          <cell r="X45">
            <v>114720</v>
          </cell>
          <cell r="Y45">
            <v>114610</v>
          </cell>
          <cell r="Z45">
            <v>114650</v>
          </cell>
          <cell r="AA45">
            <v>109290</v>
          </cell>
          <cell r="AB45">
            <v>109380</v>
          </cell>
          <cell r="AC45">
            <v>109260</v>
          </cell>
          <cell r="AD45">
            <v>109370</v>
          </cell>
          <cell r="AE45">
            <v>111730</v>
          </cell>
          <cell r="AF45">
            <v>111730</v>
          </cell>
          <cell r="AG45">
            <v>111680</v>
          </cell>
          <cell r="AH45">
            <v>111720</v>
          </cell>
        </row>
        <row r="46">
          <cell r="S46">
            <v>108100</v>
          </cell>
          <cell r="T46">
            <v>108100</v>
          </cell>
          <cell r="U46">
            <v>108030</v>
          </cell>
          <cell r="V46">
            <v>108030</v>
          </cell>
          <cell r="W46">
            <v>114650</v>
          </cell>
          <cell r="X46">
            <v>114700</v>
          </cell>
          <cell r="Y46">
            <v>114550</v>
          </cell>
          <cell r="Z46">
            <v>114670</v>
          </cell>
          <cell r="AA46">
            <v>109370</v>
          </cell>
          <cell r="AB46">
            <v>109410</v>
          </cell>
          <cell r="AC46">
            <v>109360</v>
          </cell>
          <cell r="AD46">
            <v>109380</v>
          </cell>
          <cell r="AE46">
            <v>111720</v>
          </cell>
          <cell r="AF46">
            <v>111730</v>
          </cell>
          <cell r="AG46">
            <v>111690</v>
          </cell>
          <cell r="AH46">
            <v>111700</v>
          </cell>
        </row>
        <row r="47">
          <cell r="S47">
            <v>108020</v>
          </cell>
          <cell r="T47">
            <v>108040</v>
          </cell>
          <cell r="U47">
            <v>107860</v>
          </cell>
          <cell r="V47">
            <v>108000</v>
          </cell>
          <cell r="W47">
            <v>114670</v>
          </cell>
          <cell r="X47">
            <v>114760</v>
          </cell>
          <cell r="Y47">
            <v>114620</v>
          </cell>
          <cell r="Z47">
            <v>114740</v>
          </cell>
          <cell r="AA47">
            <v>109380</v>
          </cell>
          <cell r="AB47">
            <v>109390</v>
          </cell>
          <cell r="AC47">
            <v>109300</v>
          </cell>
          <cell r="AD47">
            <v>109340</v>
          </cell>
          <cell r="AE47">
            <v>111690</v>
          </cell>
          <cell r="AF47">
            <v>111730</v>
          </cell>
          <cell r="AG47">
            <v>111670</v>
          </cell>
          <cell r="AH47">
            <v>111720</v>
          </cell>
        </row>
        <row r="48">
          <cell r="S48">
            <v>107980</v>
          </cell>
          <cell r="T48">
            <v>108010</v>
          </cell>
          <cell r="U48">
            <v>107980</v>
          </cell>
          <cell r="V48">
            <v>108010</v>
          </cell>
          <cell r="W48">
            <v>114750</v>
          </cell>
          <cell r="X48">
            <v>114850</v>
          </cell>
          <cell r="Y48">
            <v>114750</v>
          </cell>
          <cell r="Z48">
            <v>114790</v>
          </cell>
          <cell r="AA48">
            <v>109340</v>
          </cell>
          <cell r="AB48">
            <v>109350</v>
          </cell>
          <cell r="AC48">
            <v>109250</v>
          </cell>
          <cell r="AD48">
            <v>109310</v>
          </cell>
          <cell r="AE48">
            <v>111730</v>
          </cell>
          <cell r="AF48">
            <v>111730</v>
          </cell>
          <cell r="AG48">
            <v>111690</v>
          </cell>
          <cell r="AH48">
            <v>111720</v>
          </cell>
        </row>
        <row r="49">
          <cell r="S49">
            <v>108010</v>
          </cell>
          <cell r="T49">
            <v>108010</v>
          </cell>
          <cell r="U49">
            <v>108010</v>
          </cell>
          <cell r="V49">
            <v>108010</v>
          </cell>
          <cell r="W49">
            <v>114800</v>
          </cell>
          <cell r="X49">
            <v>114850</v>
          </cell>
          <cell r="Y49">
            <v>114790</v>
          </cell>
          <cell r="Z49">
            <v>114810</v>
          </cell>
          <cell r="AA49">
            <v>109310</v>
          </cell>
          <cell r="AB49">
            <v>109330</v>
          </cell>
          <cell r="AC49">
            <v>109270</v>
          </cell>
          <cell r="AD49">
            <v>109320</v>
          </cell>
          <cell r="AE49">
            <v>111720</v>
          </cell>
          <cell r="AF49">
            <v>111780</v>
          </cell>
          <cell r="AG49">
            <v>111720</v>
          </cell>
          <cell r="AH49">
            <v>111750</v>
          </cell>
        </row>
        <row r="50">
          <cell r="S50">
            <v>107990</v>
          </cell>
          <cell r="T50">
            <v>107990</v>
          </cell>
          <cell r="U50">
            <v>107900</v>
          </cell>
          <cell r="V50">
            <v>107940</v>
          </cell>
          <cell r="W50">
            <v>114810</v>
          </cell>
          <cell r="X50">
            <v>114870</v>
          </cell>
          <cell r="Y50">
            <v>114790</v>
          </cell>
          <cell r="Z50">
            <v>114830</v>
          </cell>
          <cell r="AA50">
            <v>109310</v>
          </cell>
          <cell r="AB50">
            <v>109370</v>
          </cell>
          <cell r="AC50">
            <v>109270</v>
          </cell>
          <cell r="AD50">
            <v>109290</v>
          </cell>
          <cell r="AE50">
            <v>111750</v>
          </cell>
          <cell r="AF50">
            <v>111790</v>
          </cell>
          <cell r="AG50">
            <v>111740</v>
          </cell>
          <cell r="AH50">
            <v>111780</v>
          </cell>
        </row>
        <row r="51">
          <cell r="S51">
            <v>107930</v>
          </cell>
          <cell r="T51">
            <v>107940</v>
          </cell>
          <cell r="U51">
            <v>107930</v>
          </cell>
          <cell r="V51">
            <v>107930</v>
          </cell>
          <cell r="W51">
            <v>114840</v>
          </cell>
          <cell r="X51">
            <v>114840</v>
          </cell>
          <cell r="Y51">
            <v>114750</v>
          </cell>
          <cell r="Z51">
            <v>114790</v>
          </cell>
          <cell r="AA51">
            <v>109290</v>
          </cell>
          <cell r="AB51">
            <v>109320</v>
          </cell>
          <cell r="AC51">
            <v>109240</v>
          </cell>
          <cell r="AD51">
            <v>109280</v>
          </cell>
          <cell r="AE51">
            <v>111790</v>
          </cell>
          <cell r="AF51">
            <v>111850</v>
          </cell>
          <cell r="AG51">
            <v>111770</v>
          </cell>
          <cell r="AH51">
            <v>111840</v>
          </cell>
        </row>
        <row r="52">
          <cell r="S52">
            <v>107970</v>
          </cell>
          <cell r="T52">
            <v>107970</v>
          </cell>
          <cell r="U52">
            <v>107960</v>
          </cell>
          <cell r="V52">
            <v>107960</v>
          </cell>
          <cell r="W52">
            <v>114780</v>
          </cell>
          <cell r="X52">
            <v>114820</v>
          </cell>
          <cell r="Y52">
            <v>114780</v>
          </cell>
          <cell r="Z52">
            <v>114790</v>
          </cell>
          <cell r="AA52">
            <v>109270</v>
          </cell>
          <cell r="AB52">
            <v>109270</v>
          </cell>
          <cell r="AC52">
            <v>109160</v>
          </cell>
          <cell r="AD52">
            <v>109250</v>
          </cell>
          <cell r="AE52">
            <v>111840</v>
          </cell>
          <cell r="AF52">
            <v>111840</v>
          </cell>
          <cell r="AG52">
            <v>111750</v>
          </cell>
          <cell r="AH52">
            <v>111760</v>
          </cell>
        </row>
        <row r="53">
          <cell r="S53">
            <v>107950</v>
          </cell>
          <cell r="T53">
            <v>107950</v>
          </cell>
          <cell r="U53">
            <v>107810</v>
          </cell>
          <cell r="V53">
            <v>107810</v>
          </cell>
          <cell r="W53">
            <v>114790</v>
          </cell>
          <cell r="X53">
            <v>114790</v>
          </cell>
          <cell r="Y53">
            <v>114690</v>
          </cell>
          <cell r="Z53">
            <v>114730</v>
          </cell>
          <cell r="AA53">
            <v>109250</v>
          </cell>
          <cell r="AB53">
            <v>109310</v>
          </cell>
          <cell r="AC53">
            <v>109240</v>
          </cell>
          <cell r="AD53">
            <v>109270</v>
          </cell>
          <cell r="AE53">
            <v>111780</v>
          </cell>
          <cell r="AF53">
            <v>111810</v>
          </cell>
          <cell r="AG53">
            <v>111780</v>
          </cell>
          <cell r="AH53">
            <v>111810</v>
          </cell>
        </row>
        <row r="54">
          <cell r="S54">
            <v>107820</v>
          </cell>
          <cell r="T54">
            <v>107840</v>
          </cell>
          <cell r="U54">
            <v>107820</v>
          </cell>
          <cell r="V54">
            <v>107830</v>
          </cell>
          <cell r="W54">
            <v>114730</v>
          </cell>
          <cell r="X54">
            <v>114730</v>
          </cell>
          <cell r="Y54">
            <v>114640</v>
          </cell>
          <cell r="Z54">
            <v>114710</v>
          </cell>
          <cell r="AA54">
            <v>109260</v>
          </cell>
          <cell r="AB54">
            <v>109340</v>
          </cell>
          <cell r="AC54">
            <v>109240</v>
          </cell>
          <cell r="AD54">
            <v>109330</v>
          </cell>
          <cell r="AE54">
            <v>111820</v>
          </cell>
          <cell r="AF54">
            <v>111840</v>
          </cell>
          <cell r="AG54">
            <v>111770</v>
          </cell>
          <cell r="AH54">
            <v>111830</v>
          </cell>
        </row>
        <row r="55">
          <cell r="S55">
            <v>107830</v>
          </cell>
          <cell r="T55">
            <v>107840</v>
          </cell>
          <cell r="U55">
            <v>107830</v>
          </cell>
          <cell r="V55">
            <v>107830</v>
          </cell>
          <cell r="W55">
            <v>114710</v>
          </cell>
          <cell r="X55">
            <v>114740</v>
          </cell>
          <cell r="Y55">
            <v>114700</v>
          </cell>
          <cell r="Z55">
            <v>114720</v>
          </cell>
          <cell r="AA55">
            <v>109330</v>
          </cell>
          <cell r="AB55">
            <v>109400</v>
          </cell>
          <cell r="AC55">
            <v>109330</v>
          </cell>
          <cell r="AD55">
            <v>109380</v>
          </cell>
          <cell r="AE55">
            <v>111830</v>
          </cell>
          <cell r="AF55">
            <v>111850</v>
          </cell>
          <cell r="AG55">
            <v>111820</v>
          </cell>
          <cell r="AH55">
            <v>111840</v>
          </cell>
        </row>
        <row r="56">
          <cell r="S56">
            <v>107790</v>
          </cell>
          <cell r="T56">
            <v>107790</v>
          </cell>
          <cell r="U56">
            <v>107740</v>
          </cell>
          <cell r="V56">
            <v>107780</v>
          </cell>
          <cell r="W56">
            <v>114720</v>
          </cell>
          <cell r="X56">
            <v>114720</v>
          </cell>
          <cell r="Y56">
            <v>114620</v>
          </cell>
          <cell r="Z56">
            <v>114630</v>
          </cell>
          <cell r="AA56">
            <v>109360</v>
          </cell>
          <cell r="AB56">
            <v>109390</v>
          </cell>
          <cell r="AC56">
            <v>109280</v>
          </cell>
          <cell r="AD56">
            <v>109300</v>
          </cell>
          <cell r="AE56">
            <v>111850</v>
          </cell>
          <cell r="AF56">
            <v>111860</v>
          </cell>
          <cell r="AG56">
            <v>111800</v>
          </cell>
          <cell r="AH56">
            <v>111820</v>
          </cell>
        </row>
        <row r="57">
          <cell r="S57">
            <v>107770</v>
          </cell>
          <cell r="T57">
            <v>107800</v>
          </cell>
          <cell r="U57">
            <v>107740</v>
          </cell>
          <cell r="V57">
            <v>107800</v>
          </cell>
          <cell r="W57">
            <v>114630</v>
          </cell>
          <cell r="X57">
            <v>114680</v>
          </cell>
          <cell r="Y57">
            <v>114550</v>
          </cell>
          <cell r="Z57">
            <v>114680</v>
          </cell>
          <cell r="AA57">
            <v>109300</v>
          </cell>
          <cell r="AB57">
            <v>109310</v>
          </cell>
          <cell r="AC57">
            <v>109260</v>
          </cell>
          <cell r="AD57">
            <v>109290</v>
          </cell>
          <cell r="AE57">
            <v>111810</v>
          </cell>
          <cell r="AF57">
            <v>111830</v>
          </cell>
          <cell r="AG57">
            <v>111770</v>
          </cell>
          <cell r="AH57">
            <v>111800</v>
          </cell>
        </row>
        <row r="58">
          <cell r="S58">
            <v>107840</v>
          </cell>
          <cell r="T58">
            <v>107900</v>
          </cell>
          <cell r="U58">
            <v>107840</v>
          </cell>
          <cell r="V58">
            <v>107900</v>
          </cell>
          <cell r="W58">
            <v>114680</v>
          </cell>
          <cell r="X58">
            <v>114720</v>
          </cell>
          <cell r="Y58">
            <v>114630</v>
          </cell>
          <cell r="Z58">
            <v>114700</v>
          </cell>
          <cell r="AA58">
            <v>109300</v>
          </cell>
          <cell r="AB58">
            <v>109320</v>
          </cell>
          <cell r="AC58">
            <v>109250</v>
          </cell>
          <cell r="AD58">
            <v>109310</v>
          </cell>
          <cell r="AE58">
            <v>111800</v>
          </cell>
          <cell r="AF58">
            <v>111840</v>
          </cell>
          <cell r="AG58">
            <v>111790</v>
          </cell>
          <cell r="AH58">
            <v>111810</v>
          </cell>
        </row>
        <row r="59">
          <cell r="S59">
            <v>107950</v>
          </cell>
          <cell r="T59">
            <v>107950</v>
          </cell>
          <cell r="U59">
            <v>107930</v>
          </cell>
          <cell r="V59">
            <v>107930</v>
          </cell>
          <cell r="W59">
            <v>114700</v>
          </cell>
          <cell r="X59">
            <v>114710</v>
          </cell>
          <cell r="Y59">
            <v>114600</v>
          </cell>
          <cell r="Z59">
            <v>114620</v>
          </cell>
          <cell r="AA59">
            <v>109310</v>
          </cell>
          <cell r="AB59">
            <v>109370</v>
          </cell>
          <cell r="AC59">
            <v>109310</v>
          </cell>
          <cell r="AD59">
            <v>109320</v>
          </cell>
          <cell r="AE59">
            <v>111810</v>
          </cell>
          <cell r="AF59">
            <v>111810</v>
          </cell>
          <cell r="AG59">
            <v>111650</v>
          </cell>
          <cell r="AH59">
            <v>111680</v>
          </cell>
        </row>
        <row r="60">
          <cell r="S60">
            <v>107910</v>
          </cell>
          <cell r="T60">
            <v>107910</v>
          </cell>
          <cell r="U60">
            <v>107860</v>
          </cell>
          <cell r="V60">
            <v>107870</v>
          </cell>
          <cell r="W60">
            <v>114630</v>
          </cell>
          <cell r="X60">
            <v>114660</v>
          </cell>
          <cell r="Y60">
            <v>114490</v>
          </cell>
          <cell r="Z60">
            <v>114520</v>
          </cell>
          <cell r="AA60">
            <v>109330</v>
          </cell>
          <cell r="AB60">
            <v>109400</v>
          </cell>
          <cell r="AC60">
            <v>109310</v>
          </cell>
          <cell r="AD60">
            <v>109370</v>
          </cell>
          <cell r="AE60">
            <v>111670</v>
          </cell>
          <cell r="AF60">
            <v>111730</v>
          </cell>
          <cell r="AG60">
            <v>111630</v>
          </cell>
          <cell r="AH60">
            <v>111710</v>
          </cell>
        </row>
        <row r="61">
          <cell r="S61">
            <v>107860</v>
          </cell>
          <cell r="T61">
            <v>107860</v>
          </cell>
          <cell r="U61">
            <v>107860</v>
          </cell>
          <cell r="V61">
            <v>107860</v>
          </cell>
          <cell r="W61">
            <v>114520</v>
          </cell>
          <cell r="X61">
            <v>114670</v>
          </cell>
          <cell r="Y61">
            <v>114500</v>
          </cell>
          <cell r="Z61">
            <v>114650</v>
          </cell>
          <cell r="AA61">
            <v>109380</v>
          </cell>
          <cell r="AB61">
            <v>109460</v>
          </cell>
          <cell r="AC61">
            <v>109350</v>
          </cell>
          <cell r="AD61">
            <v>109390</v>
          </cell>
          <cell r="AE61">
            <v>111690</v>
          </cell>
          <cell r="AF61">
            <v>111720</v>
          </cell>
          <cell r="AG61">
            <v>111610</v>
          </cell>
          <cell r="AH61">
            <v>111640</v>
          </cell>
        </row>
        <row r="62">
          <cell r="S62">
            <v>107820</v>
          </cell>
          <cell r="T62">
            <v>107840</v>
          </cell>
          <cell r="U62">
            <v>107750</v>
          </cell>
          <cell r="V62">
            <v>107780</v>
          </cell>
          <cell r="W62">
            <v>114630</v>
          </cell>
          <cell r="X62">
            <v>114750</v>
          </cell>
          <cell r="Y62">
            <v>114600</v>
          </cell>
          <cell r="Z62">
            <v>114690</v>
          </cell>
          <cell r="AA62">
            <v>109400</v>
          </cell>
          <cell r="AB62">
            <v>109550</v>
          </cell>
          <cell r="AC62">
            <v>109300</v>
          </cell>
          <cell r="AD62">
            <v>109490</v>
          </cell>
          <cell r="AE62">
            <v>111630</v>
          </cell>
          <cell r="AF62">
            <v>111670</v>
          </cell>
          <cell r="AG62">
            <v>111420</v>
          </cell>
          <cell r="AH62">
            <v>111480</v>
          </cell>
        </row>
        <row r="63">
          <cell r="S63">
            <v>107770</v>
          </cell>
          <cell r="T63">
            <v>107770</v>
          </cell>
          <cell r="U63">
            <v>107690</v>
          </cell>
          <cell r="V63">
            <v>107690</v>
          </cell>
          <cell r="W63">
            <v>114690</v>
          </cell>
          <cell r="X63">
            <v>114720</v>
          </cell>
          <cell r="Y63">
            <v>114650</v>
          </cell>
          <cell r="Z63">
            <v>114700</v>
          </cell>
          <cell r="AA63">
            <v>109500</v>
          </cell>
          <cell r="AB63">
            <v>109500</v>
          </cell>
          <cell r="AC63">
            <v>109310</v>
          </cell>
          <cell r="AD63">
            <v>109350</v>
          </cell>
          <cell r="AE63">
            <v>111470</v>
          </cell>
          <cell r="AF63">
            <v>111480</v>
          </cell>
          <cell r="AG63">
            <v>111280</v>
          </cell>
          <cell r="AH63">
            <v>111430</v>
          </cell>
        </row>
        <row r="64">
          <cell r="S64">
            <v>107710</v>
          </cell>
          <cell r="T64">
            <v>107720</v>
          </cell>
          <cell r="U64">
            <v>107680</v>
          </cell>
          <cell r="V64">
            <v>107710</v>
          </cell>
          <cell r="W64">
            <v>114700</v>
          </cell>
          <cell r="X64">
            <v>114720</v>
          </cell>
          <cell r="Y64">
            <v>114560</v>
          </cell>
          <cell r="Z64">
            <v>114610</v>
          </cell>
          <cell r="AA64">
            <v>109350</v>
          </cell>
          <cell r="AB64">
            <v>109420</v>
          </cell>
          <cell r="AC64">
            <v>109300</v>
          </cell>
          <cell r="AD64">
            <v>109320</v>
          </cell>
          <cell r="AE64">
            <v>111420</v>
          </cell>
          <cell r="AF64">
            <v>111520</v>
          </cell>
          <cell r="AG64">
            <v>111400</v>
          </cell>
          <cell r="AH64">
            <v>111510</v>
          </cell>
        </row>
        <row r="65">
          <cell r="S65">
            <v>107720</v>
          </cell>
          <cell r="T65">
            <v>107720</v>
          </cell>
          <cell r="U65">
            <v>107660</v>
          </cell>
          <cell r="V65">
            <v>107670</v>
          </cell>
          <cell r="W65">
            <v>114610</v>
          </cell>
          <cell r="X65">
            <v>114670</v>
          </cell>
          <cell r="Y65">
            <v>114590</v>
          </cell>
          <cell r="Z65">
            <v>114630</v>
          </cell>
          <cell r="AA65">
            <v>109330</v>
          </cell>
          <cell r="AB65">
            <v>109360</v>
          </cell>
          <cell r="AC65">
            <v>109080</v>
          </cell>
          <cell r="AD65">
            <v>109110</v>
          </cell>
          <cell r="AE65">
            <v>111520</v>
          </cell>
          <cell r="AF65">
            <v>111620</v>
          </cell>
          <cell r="AG65">
            <v>111500</v>
          </cell>
          <cell r="AH65">
            <v>111610</v>
          </cell>
        </row>
        <row r="66">
          <cell r="S66">
            <v>107670</v>
          </cell>
          <cell r="T66">
            <v>107710</v>
          </cell>
          <cell r="U66">
            <v>107670</v>
          </cell>
          <cell r="V66">
            <v>107710</v>
          </cell>
          <cell r="W66">
            <v>114630</v>
          </cell>
          <cell r="X66">
            <v>114670</v>
          </cell>
          <cell r="Y66">
            <v>114610</v>
          </cell>
          <cell r="Z66">
            <v>114630</v>
          </cell>
          <cell r="AA66">
            <v>109120</v>
          </cell>
          <cell r="AB66">
            <v>109220</v>
          </cell>
          <cell r="AC66">
            <v>109100</v>
          </cell>
          <cell r="AD66">
            <v>109190</v>
          </cell>
          <cell r="AE66">
            <v>111620</v>
          </cell>
          <cell r="AF66">
            <v>111730</v>
          </cell>
          <cell r="AG66">
            <v>111620</v>
          </cell>
          <cell r="AH66">
            <v>111660</v>
          </cell>
        </row>
        <row r="67">
          <cell r="S67">
            <v>107670</v>
          </cell>
          <cell r="T67">
            <v>107670</v>
          </cell>
          <cell r="U67">
            <v>107670</v>
          </cell>
          <cell r="V67">
            <v>107670</v>
          </cell>
          <cell r="W67">
            <v>114640</v>
          </cell>
          <cell r="X67">
            <v>114670</v>
          </cell>
          <cell r="Y67">
            <v>114600</v>
          </cell>
          <cell r="Z67">
            <v>114640</v>
          </cell>
          <cell r="AA67">
            <v>109190</v>
          </cell>
          <cell r="AB67">
            <v>109290</v>
          </cell>
          <cell r="AC67">
            <v>109160</v>
          </cell>
          <cell r="AD67">
            <v>109280</v>
          </cell>
          <cell r="AE67">
            <v>111660</v>
          </cell>
          <cell r="AF67">
            <v>111700</v>
          </cell>
          <cell r="AG67">
            <v>111600</v>
          </cell>
          <cell r="AH67">
            <v>111650</v>
          </cell>
        </row>
        <row r="68">
          <cell r="S68">
            <v>107670</v>
          </cell>
          <cell r="T68">
            <v>107670</v>
          </cell>
          <cell r="U68">
            <v>107660</v>
          </cell>
          <cell r="V68">
            <v>107660</v>
          </cell>
          <cell r="W68">
            <v>114650</v>
          </cell>
          <cell r="X68">
            <v>114650</v>
          </cell>
          <cell r="Y68">
            <v>114590</v>
          </cell>
          <cell r="Z68">
            <v>114650</v>
          </cell>
          <cell r="AA68">
            <v>109270</v>
          </cell>
          <cell r="AB68">
            <v>109400</v>
          </cell>
          <cell r="AC68">
            <v>109270</v>
          </cell>
          <cell r="AD68">
            <v>109350</v>
          </cell>
          <cell r="AE68">
            <v>111650</v>
          </cell>
          <cell r="AF68">
            <v>111680</v>
          </cell>
          <cell r="AG68">
            <v>111600</v>
          </cell>
          <cell r="AH68">
            <v>111660</v>
          </cell>
        </row>
        <row r="69">
          <cell r="S69">
            <v>107630</v>
          </cell>
          <cell r="T69">
            <v>107670</v>
          </cell>
          <cell r="U69">
            <v>107630</v>
          </cell>
          <cell r="V69">
            <v>107660</v>
          </cell>
          <cell r="W69">
            <v>114650</v>
          </cell>
          <cell r="X69">
            <v>114750</v>
          </cell>
          <cell r="Y69">
            <v>114630</v>
          </cell>
          <cell r="Z69">
            <v>114750</v>
          </cell>
          <cell r="AA69">
            <v>109340</v>
          </cell>
          <cell r="AB69">
            <v>109360</v>
          </cell>
          <cell r="AC69">
            <v>109270</v>
          </cell>
          <cell r="AD69">
            <v>109340</v>
          </cell>
          <cell r="AE69">
            <v>111670</v>
          </cell>
          <cell r="AF69">
            <v>111700</v>
          </cell>
          <cell r="AG69">
            <v>111610</v>
          </cell>
          <cell r="AH69">
            <v>111620</v>
          </cell>
        </row>
        <row r="70">
          <cell r="S70">
            <v>107660</v>
          </cell>
          <cell r="T70">
            <v>107680</v>
          </cell>
          <cell r="U70">
            <v>107660</v>
          </cell>
          <cell r="V70">
            <v>107680</v>
          </cell>
          <cell r="W70">
            <v>114750</v>
          </cell>
          <cell r="X70">
            <v>114860</v>
          </cell>
          <cell r="Y70">
            <v>114750</v>
          </cell>
          <cell r="Z70">
            <v>114830</v>
          </cell>
          <cell r="AA70">
            <v>109340</v>
          </cell>
          <cell r="AB70">
            <v>109360</v>
          </cell>
          <cell r="AC70">
            <v>109170</v>
          </cell>
          <cell r="AD70">
            <v>109190</v>
          </cell>
          <cell r="AE70">
            <v>111630</v>
          </cell>
          <cell r="AF70">
            <v>111700</v>
          </cell>
          <cell r="AG70">
            <v>111620</v>
          </cell>
          <cell r="AH70">
            <v>111690</v>
          </cell>
        </row>
        <row r="71">
          <cell r="S71">
            <v>107710</v>
          </cell>
          <cell r="T71">
            <v>107710</v>
          </cell>
          <cell r="U71">
            <v>107680</v>
          </cell>
          <cell r="V71">
            <v>107680</v>
          </cell>
          <cell r="W71">
            <v>114830</v>
          </cell>
          <cell r="X71">
            <v>115040</v>
          </cell>
          <cell r="Y71">
            <v>114830</v>
          </cell>
          <cell r="Z71">
            <v>114880</v>
          </cell>
          <cell r="AA71">
            <v>109180</v>
          </cell>
          <cell r="AB71">
            <v>109270</v>
          </cell>
          <cell r="AC71">
            <v>109160</v>
          </cell>
          <cell r="AD71">
            <v>109270</v>
          </cell>
          <cell r="AE71">
            <v>111680</v>
          </cell>
          <cell r="AF71">
            <v>111720</v>
          </cell>
          <cell r="AG71">
            <v>111650</v>
          </cell>
          <cell r="AH71">
            <v>111680</v>
          </cell>
        </row>
        <row r="72">
          <cell r="S72">
            <v>107640</v>
          </cell>
          <cell r="T72">
            <v>107640</v>
          </cell>
          <cell r="U72">
            <v>107570</v>
          </cell>
          <cell r="V72">
            <v>107570</v>
          </cell>
          <cell r="W72">
            <v>114890</v>
          </cell>
          <cell r="X72">
            <v>114920</v>
          </cell>
          <cell r="Y72">
            <v>114850</v>
          </cell>
          <cell r="Z72">
            <v>114880</v>
          </cell>
          <cell r="AA72">
            <v>109270</v>
          </cell>
          <cell r="AB72">
            <v>109390</v>
          </cell>
          <cell r="AC72">
            <v>109190</v>
          </cell>
          <cell r="AD72">
            <v>109360</v>
          </cell>
          <cell r="AE72">
            <v>111680</v>
          </cell>
          <cell r="AF72">
            <v>111680</v>
          </cell>
          <cell r="AG72">
            <v>111560</v>
          </cell>
          <cell r="AH72">
            <v>111600</v>
          </cell>
        </row>
        <row r="73">
          <cell r="S73">
            <v>107570</v>
          </cell>
          <cell r="T73">
            <v>107600</v>
          </cell>
          <cell r="U73">
            <v>107530</v>
          </cell>
          <cell r="V73">
            <v>107530</v>
          </cell>
          <cell r="W73">
            <v>114850</v>
          </cell>
          <cell r="X73">
            <v>114870</v>
          </cell>
          <cell r="Y73">
            <v>114790</v>
          </cell>
          <cell r="Z73">
            <v>114810</v>
          </cell>
          <cell r="AA73">
            <v>109350</v>
          </cell>
          <cell r="AB73">
            <v>109390</v>
          </cell>
          <cell r="AC73">
            <v>109320</v>
          </cell>
          <cell r="AD73">
            <v>109370</v>
          </cell>
          <cell r="AE73">
            <v>111600</v>
          </cell>
          <cell r="AF73">
            <v>111600</v>
          </cell>
          <cell r="AG73">
            <v>111450</v>
          </cell>
          <cell r="AH73">
            <v>111460</v>
          </cell>
        </row>
        <row r="74">
          <cell r="S74">
            <v>107530</v>
          </cell>
          <cell r="T74">
            <v>107530</v>
          </cell>
          <cell r="U74">
            <v>107460</v>
          </cell>
          <cell r="V74">
            <v>107470</v>
          </cell>
          <cell r="W74">
            <v>114800</v>
          </cell>
          <cell r="X74">
            <v>114820</v>
          </cell>
          <cell r="Y74">
            <v>114750</v>
          </cell>
          <cell r="Z74">
            <v>114770</v>
          </cell>
          <cell r="AA74">
            <v>109360</v>
          </cell>
          <cell r="AB74">
            <v>109610</v>
          </cell>
          <cell r="AC74">
            <v>109330</v>
          </cell>
          <cell r="AD74">
            <v>109610</v>
          </cell>
          <cell r="AE74">
            <v>111460</v>
          </cell>
          <cell r="AF74">
            <v>111540</v>
          </cell>
          <cell r="AG74">
            <v>111440</v>
          </cell>
          <cell r="AH74">
            <v>111540</v>
          </cell>
        </row>
        <row r="75">
          <cell r="S75">
            <v>107450</v>
          </cell>
          <cell r="T75">
            <v>107450</v>
          </cell>
          <cell r="U75">
            <v>107420</v>
          </cell>
          <cell r="V75">
            <v>107430</v>
          </cell>
          <cell r="W75">
            <v>114760</v>
          </cell>
          <cell r="X75">
            <v>114790</v>
          </cell>
          <cell r="Y75">
            <v>114710</v>
          </cell>
          <cell r="Z75">
            <v>114730</v>
          </cell>
          <cell r="AA75">
            <v>109600</v>
          </cell>
          <cell r="AB75">
            <v>109710</v>
          </cell>
          <cell r="AC75">
            <v>109530</v>
          </cell>
          <cell r="AD75">
            <v>109570</v>
          </cell>
          <cell r="AE75">
            <v>111540</v>
          </cell>
          <cell r="AF75">
            <v>111610</v>
          </cell>
          <cell r="AG75">
            <v>111510</v>
          </cell>
          <cell r="AH75">
            <v>111540</v>
          </cell>
        </row>
        <row r="76">
          <cell r="S76">
            <v>107460</v>
          </cell>
          <cell r="T76">
            <v>107470</v>
          </cell>
          <cell r="U76">
            <v>107410</v>
          </cell>
          <cell r="V76">
            <v>107470</v>
          </cell>
          <cell r="W76">
            <v>114730</v>
          </cell>
          <cell r="X76">
            <v>114770</v>
          </cell>
          <cell r="Y76">
            <v>114700</v>
          </cell>
          <cell r="Z76">
            <v>114720</v>
          </cell>
          <cell r="AA76">
            <v>109570</v>
          </cell>
          <cell r="AB76">
            <v>109620</v>
          </cell>
          <cell r="AC76">
            <v>109530</v>
          </cell>
          <cell r="AD76">
            <v>109560</v>
          </cell>
          <cell r="AE76">
            <v>111530</v>
          </cell>
          <cell r="AF76">
            <v>111670</v>
          </cell>
          <cell r="AG76">
            <v>111510</v>
          </cell>
          <cell r="AH76">
            <v>111600</v>
          </cell>
        </row>
        <row r="77">
          <cell r="S77">
            <v>107430</v>
          </cell>
          <cell r="T77">
            <v>107470</v>
          </cell>
          <cell r="U77">
            <v>107430</v>
          </cell>
          <cell r="V77">
            <v>107440</v>
          </cell>
          <cell r="W77">
            <v>114710</v>
          </cell>
          <cell r="X77">
            <v>114790</v>
          </cell>
          <cell r="Y77">
            <v>114710</v>
          </cell>
          <cell r="Z77">
            <v>114770</v>
          </cell>
          <cell r="AA77">
            <v>109560</v>
          </cell>
          <cell r="AB77">
            <v>109660</v>
          </cell>
          <cell r="AC77">
            <v>109560</v>
          </cell>
          <cell r="AD77">
            <v>109630</v>
          </cell>
          <cell r="AE77">
            <v>111610</v>
          </cell>
          <cell r="AF77">
            <v>111620</v>
          </cell>
          <cell r="AG77">
            <v>111490</v>
          </cell>
          <cell r="AH77">
            <v>111510</v>
          </cell>
        </row>
        <row r="78">
          <cell r="S78">
            <v>107440</v>
          </cell>
          <cell r="T78">
            <v>107500</v>
          </cell>
          <cell r="U78">
            <v>107440</v>
          </cell>
          <cell r="V78">
            <v>107500</v>
          </cell>
          <cell r="W78">
            <v>114780</v>
          </cell>
          <cell r="X78">
            <v>114790</v>
          </cell>
          <cell r="Y78">
            <v>114730</v>
          </cell>
          <cell r="Z78">
            <v>114770</v>
          </cell>
          <cell r="AA78">
            <v>109620</v>
          </cell>
          <cell r="AB78">
            <v>109630</v>
          </cell>
          <cell r="AC78">
            <v>109530</v>
          </cell>
          <cell r="AD78">
            <v>109630</v>
          </cell>
          <cell r="AE78">
            <v>111500</v>
          </cell>
          <cell r="AF78">
            <v>111570</v>
          </cell>
          <cell r="AG78">
            <v>111470</v>
          </cell>
          <cell r="AH78">
            <v>111520</v>
          </cell>
        </row>
        <row r="79">
          <cell r="S79">
            <v>107490</v>
          </cell>
          <cell r="T79">
            <v>107490</v>
          </cell>
          <cell r="U79">
            <v>107330</v>
          </cell>
          <cell r="V79">
            <v>107370</v>
          </cell>
          <cell r="W79">
            <v>114780</v>
          </cell>
          <cell r="X79">
            <v>114800</v>
          </cell>
          <cell r="Y79">
            <v>114710</v>
          </cell>
          <cell r="Z79">
            <v>114800</v>
          </cell>
          <cell r="AA79">
            <v>109620</v>
          </cell>
          <cell r="AB79">
            <v>109650</v>
          </cell>
          <cell r="AC79">
            <v>109520</v>
          </cell>
          <cell r="AD79">
            <v>109540</v>
          </cell>
          <cell r="AE79">
            <v>111510</v>
          </cell>
          <cell r="AF79">
            <v>111520</v>
          </cell>
          <cell r="AG79">
            <v>111420</v>
          </cell>
          <cell r="AH79">
            <v>111480</v>
          </cell>
        </row>
        <row r="80">
          <cell r="S80">
            <v>107380</v>
          </cell>
          <cell r="T80">
            <v>107450</v>
          </cell>
          <cell r="U80">
            <v>107370</v>
          </cell>
          <cell r="V80">
            <v>107450</v>
          </cell>
          <cell r="W80">
            <v>114790</v>
          </cell>
          <cell r="X80">
            <v>114820</v>
          </cell>
          <cell r="Y80">
            <v>114780</v>
          </cell>
          <cell r="Z80">
            <v>114820</v>
          </cell>
          <cell r="AA80">
            <v>109550</v>
          </cell>
          <cell r="AB80">
            <v>109650</v>
          </cell>
          <cell r="AC80">
            <v>109520</v>
          </cell>
          <cell r="AD80">
            <v>109530</v>
          </cell>
          <cell r="AE80">
            <v>111480</v>
          </cell>
          <cell r="AF80">
            <v>111550</v>
          </cell>
          <cell r="AG80">
            <v>111450</v>
          </cell>
          <cell r="AH80">
            <v>111540</v>
          </cell>
        </row>
        <row r="81">
          <cell r="S81">
            <v>107430</v>
          </cell>
          <cell r="T81">
            <v>107430</v>
          </cell>
          <cell r="U81">
            <v>107400</v>
          </cell>
          <cell r="V81">
            <v>107430</v>
          </cell>
          <cell r="W81">
            <v>114820</v>
          </cell>
          <cell r="X81">
            <v>114830</v>
          </cell>
          <cell r="Y81">
            <v>114780</v>
          </cell>
          <cell r="Z81">
            <v>114780</v>
          </cell>
          <cell r="AA81">
            <v>109540</v>
          </cell>
          <cell r="AB81">
            <v>109590</v>
          </cell>
          <cell r="AC81">
            <v>109530</v>
          </cell>
          <cell r="AD81">
            <v>109570</v>
          </cell>
          <cell r="AE81">
            <v>111540</v>
          </cell>
          <cell r="AF81">
            <v>111560</v>
          </cell>
          <cell r="AG81">
            <v>111440</v>
          </cell>
          <cell r="AH81">
            <v>111450</v>
          </cell>
        </row>
        <row r="82">
          <cell r="S82">
            <v>107400</v>
          </cell>
          <cell r="T82">
            <v>107580</v>
          </cell>
          <cell r="U82">
            <v>107400</v>
          </cell>
          <cell r="V82">
            <v>107580</v>
          </cell>
          <cell r="W82">
            <v>114780</v>
          </cell>
          <cell r="X82">
            <v>114780</v>
          </cell>
          <cell r="Y82">
            <v>114660</v>
          </cell>
          <cell r="Z82">
            <v>114730</v>
          </cell>
          <cell r="AA82">
            <v>109570</v>
          </cell>
          <cell r="AB82">
            <v>109600</v>
          </cell>
          <cell r="AC82">
            <v>109490</v>
          </cell>
          <cell r="AD82">
            <v>109570</v>
          </cell>
          <cell r="AE82">
            <v>111450</v>
          </cell>
          <cell r="AF82">
            <v>111540</v>
          </cell>
          <cell r="AG82">
            <v>111430</v>
          </cell>
          <cell r="AH82">
            <v>111540</v>
          </cell>
        </row>
        <row r="83">
          <cell r="S83">
            <v>107580</v>
          </cell>
          <cell r="T83">
            <v>107600</v>
          </cell>
          <cell r="U83">
            <v>107520</v>
          </cell>
          <cell r="V83">
            <v>107540</v>
          </cell>
          <cell r="W83">
            <v>114710</v>
          </cell>
          <cell r="X83">
            <v>114730</v>
          </cell>
          <cell r="Y83">
            <v>114670</v>
          </cell>
          <cell r="Z83">
            <v>114690</v>
          </cell>
          <cell r="AA83">
            <v>109560</v>
          </cell>
          <cell r="AB83">
            <v>109570</v>
          </cell>
          <cell r="AC83">
            <v>109350</v>
          </cell>
          <cell r="AD83">
            <v>109420</v>
          </cell>
          <cell r="AE83">
            <v>111540</v>
          </cell>
          <cell r="AF83">
            <v>111580</v>
          </cell>
          <cell r="AG83">
            <v>111480</v>
          </cell>
          <cell r="AH83">
            <v>111530</v>
          </cell>
        </row>
        <row r="84">
          <cell r="S84">
            <v>107540</v>
          </cell>
          <cell r="T84">
            <v>107560</v>
          </cell>
          <cell r="U84">
            <v>107520</v>
          </cell>
          <cell r="V84">
            <v>107550</v>
          </cell>
          <cell r="W84">
            <v>114680</v>
          </cell>
          <cell r="X84">
            <v>114730</v>
          </cell>
          <cell r="Y84">
            <v>114670</v>
          </cell>
          <cell r="Z84">
            <v>114700</v>
          </cell>
          <cell r="AA84">
            <v>109430</v>
          </cell>
          <cell r="AB84">
            <v>109490</v>
          </cell>
          <cell r="AC84">
            <v>109380</v>
          </cell>
          <cell r="AD84">
            <v>109450</v>
          </cell>
          <cell r="AE84">
            <v>111520</v>
          </cell>
          <cell r="AF84">
            <v>111630</v>
          </cell>
          <cell r="AG84">
            <v>111510</v>
          </cell>
          <cell r="AH84">
            <v>111570</v>
          </cell>
        </row>
        <row r="85">
          <cell r="S85">
            <v>107560</v>
          </cell>
          <cell r="T85">
            <v>107630</v>
          </cell>
          <cell r="U85">
            <v>107560</v>
          </cell>
          <cell r="V85">
            <v>107630</v>
          </cell>
          <cell r="W85">
            <v>114710</v>
          </cell>
          <cell r="X85">
            <v>114840</v>
          </cell>
          <cell r="Y85">
            <v>114700</v>
          </cell>
          <cell r="Z85">
            <v>114810</v>
          </cell>
          <cell r="AA85">
            <v>109460</v>
          </cell>
          <cell r="AB85">
            <v>109460</v>
          </cell>
          <cell r="AC85">
            <v>109390</v>
          </cell>
          <cell r="AD85">
            <v>109440</v>
          </cell>
          <cell r="AE85">
            <v>111560</v>
          </cell>
          <cell r="AF85">
            <v>111600</v>
          </cell>
          <cell r="AG85">
            <v>111550</v>
          </cell>
          <cell r="AH85">
            <v>111570</v>
          </cell>
        </row>
        <row r="86">
          <cell r="S86">
            <v>107630</v>
          </cell>
          <cell r="T86">
            <v>107630</v>
          </cell>
          <cell r="U86">
            <v>107560</v>
          </cell>
          <cell r="V86">
            <v>107580</v>
          </cell>
          <cell r="W86">
            <v>114800</v>
          </cell>
          <cell r="X86">
            <v>114830</v>
          </cell>
          <cell r="Y86">
            <v>114770</v>
          </cell>
          <cell r="Z86">
            <v>114800</v>
          </cell>
          <cell r="AA86">
            <v>109440</v>
          </cell>
          <cell r="AB86">
            <v>109450</v>
          </cell>
          <cell r="AC86">
            <v>109400</v>
          </cell>
          <cell r="AD86">
            <v>109430</v>
          </cell>
          <cell r="AE86">
            <v>111570</v>
          </cell>
          <cell r="AF86">
            <v>111600</v>
          </cell>
          <cell r="AG86">
            <v>111530</v>
          </cell>
          <cell r="AH86">
            <v>111590</v>
          </cell>
        </row>
        <row r="87">
          <cell r="S87">
            <v>107580</v>
          </cell>
          <cell r="T87">
            <v>107580</v>
          </cell>
          <cell r="U87">
            <v>107580</v>
          </cell>
          <cell r="V87">
            <v>107580</v>
          </cell>
          <cell r="W87">
            <v>114790</v>
          </cell>
          <cell r="X87">
            <v>114870</v>
          </cell>
          <cell r="Y87">
            <v>114760</v>
          </cell>
          <cell r="Z87">
            <v>114860</v>
          </cell>
          <cell r="AA87">
            <v>109430</v>
          </cell>
          <cell r="AB87">
            <v>109520</v>
          </cell>
          <cell r="AC87">
            <v>109400</v>
          </cell>
          <cell r="AD87">
            <v>109500</v>
          </cell>
          <cell r="AE87">
            <v>111590</v>
          </cell>
          <cell r="AF87">
            <v>111590</v>
          </cell>
          <cell r="AG87">
            <v>111530</v>
          </cell>
          <cell r="AH87">
            <v>111540</v>
          </cell>
        </row>
        <row r="88">
          <cell r="S88">
            <v>107560</v>
          </cell>
          <cell r="T88">
            <v>107560</v>
          </cell>
          <cell r="U88">
            <v>107560</v>
          </cell>
          <cell r="V88">
            <v>107560</v>
          </cell>
          <cell r="W88">
            <v>114870</v>
          </cell>
          <cell r="X88">
            <v>114940</v>
          </cell>
          <cell r="Y88">
            <v>114830</v>
          </cell>
          <cell r="Z88">
            <v>114900</v>
          </cell>
          <cell r="AA88">
            <v>109500</v>
          </cell>
          <cell r="AB88">
            <v>109560</v>
          </cell>
          <cell r="AC88">
            <v>109440</v>
          </cell>
          <cell r="AD88">
            <v>109530</v>
          </cell>
          <cell r="AE88">
            <v>111540</v>
          </cell>
          <cell r="AF88">
            <v>111560</v>
          </cell>
          <cell r="AG88">
            <v>111510</v>
          </cell>
          <cell r="AH88">
            <v>111530</v>
          </cell>
        </row>
        <row r="89">
          <cell r="S89">
            <v>107500</v>
          </cell>
          <cell r="T89">
            <v>107510</v>
          </cell>
          <cell r="U89">
            <v>107470</v>
          </cell>
          <cell r="V89">
            <v>107510</v>
          </cell>
          <cell r="W89">
            <v>114920</v>
          </cell>
          <cell r="X89">
            <v>114920</v>
          </cell>
          <cell r="Y89">
            <v>114850</v>
          </cell>
          <cell r="Z89">
            <v>114870</v>
          </cell>
          <cell r="AA89">
            <v>109530</v>
          </cell>
          <cell r="AB89">
            <v>109560</v>
          </cell>
          <cell r="AC89">
            <v>109460</v>
          </cell>
          <cell r="AD89">
            <v>109520</v>
          </cell>
          <cell r="AE89">
            <v>111540</v>
          </cell>
          <cell r="AF89">
            <v>111540</v>
          </cell>
          <cell r="AG89">
            <v>111480</v>
          </cell>
          <cell r="AH89">
            <v>111490</v>
          </cell>
        </row>
        <row r="90">
          <cell r="S90">
            <v>107490</v>
          </cell>
          <cell r="T90">
            <v>107490</v>
          </cell>
          <cell r="U90">
            <v>107420</v>
          </cell>
          <cell r="V90">
            <v>107430</v>
          </cell>
          <cell r="W90">
            <v>114850</v>
          </cell>
          <cell r="X90">
            <v>114920</v>
          </cell>
          <cell r="Y90">
            <v>114850</v>
          </cell>
          <cell r="Z90">
            <v>114890</v>
          </cell>
          <cell r="AA90">
            <v>109520</v>
          </cell>
          <cell r="AB90">
            <v>109520</v>
          </cell>
          <cell r="AC90">
            <v>109450</v>
          </cell>
          <cell r="AD90">
            <v>109480</v>
          </cell>
          <cell r="AE90">
            <v>111490</v>
          </cell>
          <cell r="AF90">
            <v>111530</v>
          </cell>
          <cell r="AG90">
            <v>111470</v>
          </cell>
          <cell r="AH90">
            <v>111530</v>
          </cell>
        </row>
        <row r="91">
          <cell r="S91">
            <v>107420</v>
          </cell>
          <cell r="T91">
            <v>107450</v>
          </cell>
          <cell r="U91">
            <v>107370</v>
          </cell>
          <cell r="V91">
            <v>107430</v>
          </cell>
          <cell r="W91">
            <v>114880</v>
          </cell>
          <cell r="X91">
            <v>114890</v>
          </cell>
          <cell r="Y91">
            <v>114850</v>
          </cell>
          <cell r="Z91">
            <v>114870</v>
          </cell>
          <cell r="AA91">
            <v>109480</v>
          </cell>
          <cell r="AB91">
            <v>109500</v>
          </cell>
          <cell r="AC91">
            <v>109410</v>
          </cell>
          <cell r="AD91">
            <v>109470</v>
          </cell>
          <cell r="AE91">
            <v>111530</v>
          </cell>
          <cell r="AF91">
            <v>111550</v>
          </cell>
          <cell r="AG91">
            <v>111470</v>
          </cell>
          <cell r="AH91">
            <v>111490</v>
          </cell>
        </row>
        <row r="92">
          <cell r="S92">
            <v>107430</v>
          </cell>
          <cell r="T92">
            <v>107450</v>
          </cell>
          <cell r="U92">
            <v>107400</v>
          </cell>
          <cell r="V92">
            <v>107440</v>
          </cell>
          <cell r="W92">
            <v>114880</v>
          </cell>
          <cell r="X92">
            <v>114950</v>
          </cell>
          <cell r="Y92">
            <v>114880</v>
          </cell>
          <cell r="Z92">
            <v>114930</v>
          </cell>
          <cell r="AA92">
            <v>109460</v>
          </cell>
          <cell r="AB92">
            <v>109560</v>
          </cell>
          <cell r="AC92">
            <v>109430</v>
          </cell>
          <cell r="AD92">
            <v>109480</v>
          </cell>
          <cell r="AE92">
            <v>111480</v>
          </cell>
          <cell r="AF92">
            <v>111500</v>
          </cell>
          <cell r="AG92">
            <v>111400</v>
          </cell>
          <cell r="AH92">
            <v>111480</v>
          </cell>
        </row>
        <row r="93">
          <cell r="S93">
            <v>107430</v>
          </cell>
          <cell r="T93">
            <v>107430</v>
          </cell>
          <cell r="U93">
            <v>107350</v>
          </cell>
          <cell r="V93">
            <v>107410</v>
          </cell>
          <cell r="W93">
            <v>114930</v>
          </cell>
          <cell r="X93">
            <v>114940</v>
          </cell>
          <cell r="Y93">
            <v>114880</v>
          </cell>
          <cell r="Z93">
            <v>114890</v>
          </cell>
          <cell r="AA93">
            <v>109470</v>
          </cell>
          <cell r="AB93">
            <v>109470</v>
          </cell>
          <cell r="AC93">
            <v>109340</v>
          </cell>
          <cell r="AD93">
            <v>109380</v>
          </cell>
          <cell r="AE93">
            <v>111460</v>
          </cell>
          <cell r="AF93">
            <v>111460</v>
          </cell>
          <cell r="AG93">
            <v>111410</v>
          </cell>
          <cell r="AH93">
            <v>111450</v>
          </cell>
        </row>
        <row r="94">
          <cell r="S94">
            <v>107390</v>
          </cell>
          <cell r="T94">
            <v>107390</v>
          </cell>
          <cell r="U94">
            <v>107360</v>
          </cell>
          <cell r="V94">
            <v>107370</v>
          </cell>
          <cell r="W94">
            <v>114890</v>
          </cell>
          <cell r="X94">
            <v>114890</v>
          </cell>
          <cell r="Y94">
            <v>114820</v>
          </cell>
          <cell r="Z94">
            <v>114870</v>
          </cell>
          <cell r="AA94">
            <v>109380</v>
          </cell>
          <cell r="AB94">
            <v>109420</v>
          </cell>
          <cell r="AC94">
            <v>109200</v>
          </cell>
          <cell r="AD94">
            <v>109270</v>
          </cell>
          <cell r="AE94">
            <v>111450</v>
          </cell>
          <cell r="AF94">
            <v>111510</v>
          </cell>
          <cell r="AG94">
            <v>111430</v>
          </cell>
          <cell r="AH94">
            <v>111480</v>
          </cell>
        </row>
        <row r="95">
          <cell r="S95">
            <v>107330</v>
          </cell>
          <cell r="T95">
            <v>107400</v>
          </cell>
          <cell r="U95">
            <v>107310</v>
          </cell>
          <cell r="V95">
            <v>107400</v>
          </cell>
          <cell r="W95">
            <v>114870</v>
          </cell>
          <cell r="X95">
            <v>114880</v>
          </cell>
          <cell r="Y95">
            <v>114810</v>
          </cell>
          <cell r="Z95">
            <v>114810</v>
          </cell>
          <cell r="AA95">
            <v>109270</v>
          </cell>
          <cell r="AB95">
            <v>109330</v>
          </cell>
          <cell r="AC95">
            <v>109250</v>
          </cell>
          <cell r="AD95">
            <v>109330</v>
          </cell>
          <cell r="AE95">
            <v>111480</v>
          </cell>
          <cell r="AF95">
            <v>111530</v>
          </cell>
          <cell r="AG95">
            <v>111480</v>
          </cell>
          <cell r="AH95">
            <v>111530</v>
          </cell>
        </row>
        <row r="96">
          <cell r="S96">
            <v>107410</v>
          </cell>
          <cell r="T96">
            <v>107410</v>
          </cell>
          <cell r="U96">
            <v>107410</v>
          </cell>
          <cell r="V96">
            <v>107410</v>
          </cell>
          <cell r="W96">
            <v>114820</v>
          </cell>
          <cell r="X96">
            <v>114850</v>
          </cell>
          <cell r="Y96">
            <v>114730</v>
          </cell>
          <cell r="Z96">
            <v>114760</v>
          </cell>
          <cell r="AA96">
            <v>109330</v>
          </cell>
          <cell r="AB96">
            <v>109330</v>
          </cell>
          <cell r="AC96">
            <v>109260</v>
          </cell>
          <cell r="AD96">
            <v>109270</v>
          </cell>
          <cell r="AE96">
            <v>111520</v>
          </cell>
          <cell r="AF96">
            <v>111610</v>
          </cell>
          <cell r="AG96">
            <v>111520</v>
          </cell>
          <cell r="AH96">
            <v>111580</v>
          </cell>
        </row>
        <row r="97">
          <cell r="S97">
            <v>107430</v>
          </cell>
          <cell r="T97">
            <v>107430</v>
          </cell>
          <cell r="U97">
            <v>107410</v>
          </cell>
          <cell r="V97">
            <v>107410</v>
          </cell>
          <cell r="W97">
            <v>114750</v>
          </cell>
          <cell r="X97">
            <v>114790</v>
          </cell>
          <cell r="Y97">
            <v>114720</v>
          </cell>
          <cell r="Z97">
            <v>114770</v>
          </cell>
          <cell r="AA97">
            <v>109270</v>
          </cell>
          <cell r="AB97">
            <v>109370</v>
          </cell>
          <cell r="AC97">
            <v>109250</v>
          </cell>
          <cell r="AD97">
            <v>109350</v>
          </cell>
          <cell r="AE97">
            <v>111570</v>
          </cell>
          <cell r="AF97">
            <v>111570</v>
          </cell>
          <cell r="AG97">
            <v>111490</v>
          </cell>
          <cell r="AH97">
            <v>111550</v>
          </cell>
        </row>
        <row r="98">
          <cell r="S98">
            <v>107340</v>
          </cell>
          <cell r="T98">
            <v>107400</v>
          </cell>
          <cell r="U98">
            <v>107300</v>
          </cell>
          <cell r="V98">
            <v>107400</v>
          </cell>
          <cell r="W98">
            <v>114780</v>
          </cell>
          <cell r="X98">
            <v>114850</v>
          </cell>
          <cell r="Y98">
            <v>114780</v>
          </cell>
          <cell r="Z98">
            <v>114840</v>
          </cell>
          <cell r="AA98">
            <v>109350</v>
          </cell>
          <cell r="AB98">
            <v>109400</v>
          </cell>
          <cell r="AC98">
            <v>109320</v>
          </cell>
          <cell r="AD98">
            <v>109370</v>
          </cell>
          <cell r="AE98">
            <v>111560</v>
          </cell>
          <cell r="AF98">
            <v>111580</v>
          </cell>
          <cell r="AG98">
            <v>111510</v>
          </cell>
          <cell r="AH98">
            <v>111560</v>
          </cell>
        </row>
        <row r="99">
          <cell r="S99">
            <v>107400</v>
          </cell>
          <cell r="T99">
            <v>107480</v>
          </cell>
          <cell r="U99">
            <v>107400</v>
          </cell>
          <cell r="V99">
            <v>107480</v>
          </cell>
          <cell r="W99">
            <v>114860</v>
          </cell>
          <cell r="X99">
            <v>114880</v>
          </cell>
          <cell r="Y99">
            <v>114830</v>
          </cell>
          <cell r="Z99">
            <v>114860</v>
          </cell>
          <cell r="AA99">
            <v>109370</v>
          </cell>
          <cell r="AB99">
            <v>109460</v>
          </cell>
          <cell r="AC99">
            <v>109370</v>
          </cell>
          <cell r="AD99">
            <v>109440</v>
          </cell>
          <cell r="AE99">
            <v>111580</v>
          </cell>
          <cell r="AF99">
            <v>111580</v>
          </cell>
          <cell r="AG99">
            <v>111530</v>
          </cell>
          <cell r="AH99">
            <v>111570</v>
          </cell>
        </row>
        <row r="100">
          <cell r="S100">
            <v>107460</v>
          </cell>
          <cell r="T100">
            <v>107460</v>
          </cell>
          <cell r="U100">
            <v>107430</v>
          </cell>
          <cell r="V100">
            <v>107430</v>
          </cell>
          <cell r="W100">
            <v>114850</v>
          </cell>
          <cell r="X100">
            <v>114940</v>
          </cell>
          <cell r="Y100">
            <v>114850</v>
          </cell>
          <cell r="Z100">
            <v>114940</v>
          </cell>
          <cell r="AA100">
            <v>109430</v>
          </cell>
          <cell r="AB100">
            <v>109440</v>
          </cell>
          <cell r="AC100">
            <v>109370</v>
          </cell>
          <cell r="AD100">
            <v>109440</v>
          </cell>
          <cell r="AE100">
            <v>111570</v>
          </cell>
          <cell r="AF100">
            <v>111570</v>
          </cell>
          <cell r="AG100">
            <v>111460</v>
          </cell>
          <cell r="AH100">
            <v>111500</v>
          </cell>
        </row>
        <row r="101">
          <cell r="S101">
            <v>107450</v>
          </cell>
          <cell r="T101">
            <v>107450</v>
          </cell>
          <cell r="U101">
            <v>107400</v>
          </cell>
          <cell r="V101">
            <v>107400</v>
          </cell>
          <cell r="W101">
            <v>114940</v>
          </cell>
          <cell r="X101">
            <v>114960</v>
          </cell>
          <cell r="Y101">
            <v>114910</v>
          </cell>
          <cell r="Z101">
            <v>114930</v>
          </cell>
          <cell r="AA101">
            <v>109440</v>
          </cell>
          <cell r="AB101">
            <v>109480</v>
          </cell>
          <cell r="AC101">
            <v>109390</v>
          </cell>
          <cell r="AD101">
            <v>109440</v>
          </cell>
          <cell r="AE101">
            <v>111500</v>
          </cell>
          <cell r="AF101">
            <v>111500</v>
          </cell>
          <cell r="AG101">
            <v>111450</v>
          </cell>
          <cell r="AH101">
            <v>111500</v>
          </cell>
        </row>
        <row r="102">
          <cell r="S102">
            <v>107400</v>
          </cell>
          <cell r="T102">
            <v>107400</v>
          </cell>
          <cell r="U102">
            <v>107400</v>
          </cell>
          <cell r="V102">
            <v>107400</v>
          </cell>
          <cell r="W102">
            <v>114930</v>
          </cell>
          <cell r="X102">
            <v>114980</v>
          </cell>
          <cell r="Y102">
            <v>114900</v>
          </cell>
          <cell r="Z102">
            <v>114930</v>
          </cell>
          <cell r="AA102">
            <v>109450</v>
          </cell>
          <cell r="AB102">
            <v>109450</v>
          </cell>
          <cell r="AC102">
            <v>109360</v>
          </cell>
          <cell r="AD102">
            <v>109380</v>
          </cell>
          <cell r="AE102">
            <v>111500</v>
          </cell>
          <cell r="AF102">
            <v>111530</v>
          </cell>
          <cell r="AG102">
            <v>111460</v>
          </cell>
          <cell r="AH102">
            <v>111510</v>
          </cell>
        </row>
        <row r="103">
          <cell r="S103">
            <v>107400</v>
          </cell>
          <cell r="T103">
            <v>107400</v>
          </cell>
          <cell r="U103">
            <v>107350</v>
          </cell>
          <cell r="V103">
            <v>107350</v>
          </cell>
          <cell r="W103">
            <v>114940</v>
          </cell>
          <cell r="X103">
            <v>114960</v>
          </cell>
          <cell r="Y103">
            <v>114910</v>
          </cell>
          <cell r="Z103">
            <v>114960</v>
          </cell>
          <cell r="AA103">
            <v>109380</v>
          </cell>
          <cell r="AB103">
            <v>109440</v>
          </cell>
          <cell r="AC103">
            <v>109360</v>
          </cell>
          <cell r="AD103">
            <v>109360</v>
          </cell>
          <cell r="AE103">
            <v>111520</v>
          </cell>
          <cell r="AF103">
            <v>111590</v>
          </cell>
          <cell r="AG103">
            <v>111500</v>
          </cell>
          <cell r="AH103">
            <v>111580</v>
          </cell>
        </row>
        <row r="104">
          <cell r="S104">
            <v>107360</v>
          </cell>
          <cell r="T104">
            <v>107390</v>
          </cell>
          <cell r="U104">
            <v>107320</v>
          </cell>
          <cell r="V104">
            <v>107390</v>
          </cell>
          <cell r="W104">
            <v>114950</v>
          </cell>
          <cell r="X104">
            <v>114990</v>
          </cell>
          <cell r="Y104">
            <v>114910</v>
          </cell>
          <cell r="Z104">
            <v>114990</v>
          </cell>
          <cell r="AA104">
            <v>109350</v>
          </cell>
          <cell r="AB104">
            <v>109380</v>
          </cell>
          <cell r="AC104">
            <v>109320</v>
          </cell>
          <cell r="AD104">
            <v>109380</v>
          </cell>
          <cell r="AE104">
            <v>111590</v>
          </cell>
          <cell r="AF104">
            <v>111590</v>
          </cell>
          <cell r="AG104">
            <v>111530</v>
          </cell>
          <cell r="AH104">
            <v>111560</v>
          </cell>
        </row>
        <row r="105">
          <cell r="S105">
            <v>107340</v>
          </cell>
          <cell r="T105">
            <v>107340</v>
          </cell>
          <cell r="U105">
            <v>107340</v>
          </cell>
          <cell r="V105">
            <v>107340</v>
          </cell>
          <cell r="W105">
            <v>114970</v>
          </cell>
          <cell r="X105">
            <v>115000</v>
          </cell>
          <cell r="Y105">
            <v>114890</v>
          </cell>
          <cell r="Z105">
            <v>114910</v>
          </cell>
          <cell r="AA105">
            <v>109380</v>
          </cell>
          <cell r="AB105">
            <v>109390</v>
          </cell>
          <cell r="AC105">
            <v>109290</v>
          </cell>
          <cell r="AD105">
            <v>109360</v>
          </cell>
          <cell r="AE105">
            <v>111580</v>
          </cell>
          <cell r="AF105">
            <v>111590</v>
          </cell>
          <cell r="AG105">
            <v>111530</v>
          </cell>
          <cell r="AH105">
            <v>111530</v>
          </cell>
        </row>
        <row r="106">
          <cell r="S106">
            <v>107400</v>
          </cell>
          <cell r="T106">
            <v>107410</v>
          </cell>
          <cell r="U106">
            <v>107390</v>
          </cell>
          <cell r="V106">
            <v>107410</v>
          </cell>
          <cell r="W106">
            <v>114930</v>
          </cell>
          <cell r="X106">
            <v>114980</v>
          </cell>
          <cell r="Y106">
            <v>114910</v>
          </cell>
          <cell r="Z106">
            <v>114950</v>
          </cell>
          <cell r="AA106">
            <v>109350</v>
          </cell>
          <cell r="AB106">
            <v>109380</v>
          </cell>
          <cell r="AC106">
            <v>109290</v>
          </cell>
          <cell r="AD106">
            <v>109320</v>
          </cell>
          <cell r="AE106">
            <v>111540</v>
          </cell>
          <cell r="AF106">
            <v>111580</v>
          </cell>
          <cell r="AG106">
            <v>111510</v>
          </cell>
          <cell r="AH106">
            <v>111550</v>
          </cell>
        </row>
        <row r="107">
          <cell r="S107">
            <v>107380</v>
          </cell>
          <cell r="T107">
            <v>107400</v>
          </cell>
          <cell r="U107">
            <v>107300</v>
          </cell>
          <cell r="V107">
            <v>107300</v>
          </cell>
          <cell r="W107">
            <v>114950</v>
          </cell>
          <cell r="X107">
            <v>114980</v>
          </cell>
          <cell r="Y107">
            <v>114890</v>
          </cell>
          <cell r="Z107">
            <v>114950</v>
          </cell>
          <cell r="AA107">
            <v>109320</v>
          </cell>
          <cell r="AB107">
            <v>109360</v>
          </cell>
          <cell r="AC107">
            <v>109210</v>
          </cell>
          <cell r="AD107">
            <v>109220</v>
          </cell>
          <cell r="AE107">
            <v>111550</v>
          </cell>
          <cell r="AF107">
            <v>111560</v>
          </cell>
          <cell r="AG107">
            <v>111490</v>
          </cell>
          <cell r="AH107">
            <v>111550</v>
          </cell>
        </row>
        <row r="108">
          <cell r="S108">
            <v>107310</v>
          </cell>
          <cell r="T108">
            <v>107310</v>
          </cell>
          <cell r="U108">
            <v>107190</v>
          </cell>
          <cell r="V108">
            <v>107200</v>
          </cell>
          <cell r="W108">
            <v>114950</v>
          </cell>
          <cell r="X108">
            <v>114960</v>
          </cell>
          <cell r="Y108">
            <v>114920</v>
          </cell>
          <cell r="Z108">
            <v>114950</v>
          </cell>
          <cell r="AA108">
            <v>109220</v>
          </cell>
          <cell r="AB108">
            <v>109290</v>
          </cell>
          <cell r="AC108">
            <v>109160</v>
          </cell>
          <cell r="AD108">
            <v>109280</v>
          </cell>
          <cell r="AE108">
            <v>111550</v>
          </cell>
          <cell r="AF108">
            <v>111570</v>
          </cell>
          <cell r="AG108">
            <v>111520</v>
          </cell>
          <cell r="AH108">
            <v>111540</v>
          </cell>
        </row>
        <row r="109">
          <cell r="S109">
            <v>107190</v>
          </cell>
          <cell r="T109">
            <v>107260</v>
          </cell>
          <cell r="U109">
            <v>107190</v>
          </cell>
          <cell r="V109">
            <v>107260</v>
          </cell>
          <cell r="W109">
            <v>114950</v>
          </cell>
          <cell r="X109">
            <v>114960</v>
          </cell>
          <cell r="Y109">
            <v>114900</v>
          </cell>
          <cell r="Z109">
            <v>114950</v>
          </cell>
          <cell r="AA109">
            <v>109280</v>
          </cell>
          <cell r="AB109">
            <v>109290</v>
          </cell>
          <cell r="AC109">
            <v>109180</v>
          </cell>
          <cell r="AD109">
            <v>109260</v>
          </cell>
          <cell r="AE109">
            <v>111540</v>
          </cell>
          <cell r="AF109">
            <v>111630</v>
          </cell>
          <cell r="AG109">
            <v>111530</v>
          </cell>
          <cell r="AH109">
            <v>111620</v>
          </cell>
        </row>
        <row r="110">
          <cell r="S110">
            <v>107280</v>
          </cell>
          <cell r="T110">
            <v>107280</v>
          </cell>
          <cell r="U110">
            <v>107190</v>
          </cell>
          <cell r="V110">
            <v>107200</v>
          </cell>
          <cell r="W110">
            <v>114960</v>
          </cell>
          <cell r="X110">
            <v>115040</v>
          </cell>
          <cell r="Y110">
            <v>114940</v>
          </cell>
          <cell r="Z110">
            <v>115000</v>
          </cell>
          <cell r="AA110">
            <v>109260</v>
          </cell>
          <cell r="AB110">
            <v>109260</v>
          </cell>
          <cell r="AC110">
            <v>109150</v>
          </cell>
          <cell r="AD110">
            <v>109200</v>
          </cell>
          <cell r="AE110">
            <v>111630</v>
          </cell>
          <cell r="AF110">
            <v>111630</v>
          </cell>
          <cell r="AG110">
            <v>111540</v>
          </cell>
          <cell r="AH110">
            <v>111610</v>
          </cell>
        </row>
        <row r="111">
          <cell r="S111">
            <v>107210</v>
          </cell>
          <cell r="T111">
            <v>107210</v>
          </cell>
          <cell r="U111">
            <v>107100</v>
          </cell>
          <cell r="V111">
            <v>107190</v>
          </cell>
          <cell r="W111">
            <v>115000</v>
          </cell>
          <cell r="X111">
            <v>115110</v>
          </cell>
          <cell r="Y111">
            <v>114970</v>
          </cell>
          <cell r="Z111">
            <v>115040</v>
          </cell>
          <cell r="AA111">
            <v>109190</v>
          </cell>
          <cell r="AB111">
            <v>109240</v>
          </cell>
          <cell r="AC111">
            <v>109130</v>
          </cell>
          <cell r="AD111">
            <v>109230</v>
          </cell>
          <cell r="AE111">
            <v>111610</v>
          </cell>
          <cell r="AF111">
            <v>111610</v>
          </cell>
          <cell r="AG111">
            <v>111530</v>
          </cell>
          <cell r="AH111">
            <v>111570</v>
          </cell>
        </row>
        <row r="112">
          <cell r="S112">
            <v>107180</v>
          </cell>
          <cell r="T112">
            <v>107180</v>
          </cell>
          <cell r="U112">
            <v>107100</v>
          </cell>
          <cell r="V112">
            <v>107130</v>
          </cell>
          <cell r="W112">
            <v>115030</v>
          </cell>
          <cell r="X112">
            <v>115080</v>
          </cell>
          <cell r="Y112">
            <v>114970</v>
          </cell>
          <cell r="Z112">
            <v>115070</v>
          </cell>
          <cell r="AA112">
            <v>109220</v>
          </cell>
          <cell r="AB112">
            <v>109230</v>
          </cell>
          <cell r="AC112">
            <v>109060</v>
          </cell>
          <cell r="AD112">
            <v>109080</v>
          </cell>
          <cell r="AE112">
            <v>111570</v>
          </cell>
          <cell r="AF112">
            <v>111570</v>
          </cell>
          <cell r="AG112">
            <v>111510</v>
          </cell>
          <cell r="AH112">
            <v>111550</v>
          </cell>
        </row>
        <row r="113">
          <cell r="S113">
            <v>107160</v>
          </cell>
          <cell r="T113">
            <v>107160</v>
          </cell>
          <cell r="U113">
            <v>107130</v>
          </cell>
          <cell r="V113">
            <v>107130</v>
          </cell>
          <cell r="W113">
            <v>115070</v>
          </cell>
          <cell r="X113">
            <v>115100</v>
          </cell>
          <cell r="Y113">
            <v>115010</v>
          </cell>
          <cell r="Z113">
            <v>115020</v>
          </cell>
          <cell r="AA113">
            <v>109060</v>
          </cell>
          <cell r="AB113">
            <v>109130</v>
          </cell>
          <cell r="AC113">
            <v>109020</v>
          </cell>
          <cell r="AD113">
            <v>109030</v>
          </cell>
          <cell r="AE113">
            <v>111560</v>
          </cell>
          <cell r="AF113">
            <v>111560</v>
          </cell>
          <cell r="AG113">
            <v>111460</v>
          </cell>
          <cell r="AH113">
            <v>111460</v>
          </cell>
        </row>
        <row r="114">
          <cell r="S114">
            <v>107090</v>
          </cell>
          <cell r="T114">
            <v>107090</v>
          </cell>
          <cell r="U114">
            <v>107000</v>
          </cell>
          <cell r="V114">
            <v>107000</v>
          </cell>
          <cell r="W114">
            <v>115020</v>
          </cell>
          <cell r="X114">
            <v>115100</v>
          </cell>
          <cell r="Y114">
            <v>115020</v>
          </cell>
          <cell r="Z114">
            <v>115070</v>
          </cell>
          <cell r="AA114">
            <v>109030</v>
          </cell>
          <cell r="AB114">
            <v>109130</v>
          </cell>
          <cell r="AC114">
            <v>109000</v>
          </cell>
          <cell r="AD114">
            <v>109060</v>
          </cell>
          <cell r="AE114">
            <v>111470</v>
          </cell>
          <cell r="AF114">
            <v>111500</v>
          </cell>
          <cell r="AG114">
            <v>111430</v>
          </cell>
          <cell r="AH114">
            <v>111440</v>
          </cell>
        </row>
        <row r="115">
          <cell r="S115">
            <v>106990</v>
          </cell>
          <cell r="T115">
            <v>107050</v>
          </cell>
          <cell r="U115">
            <v>106960</v>
          </cell>
          <cell r="V115">
            <v>107050</v>
          </cell>
          <cell r="W115">
            <v>115070</v>
          </cell>
          <cell r="X115">
            <v>115260</v>
          </cell>
          <cell r="Y115">
            <v>115070</v>
          </cell>
          <cell r="Z115">
            <v>115080</v>
          </cell>
          <cell r="AA115">
            <v>109060</v>
          </cell>
          <cell r="AB115">
            <v>109130</v>
          </cell>
          <cell r="AC115">
            <v>109030</v>
          </cell>
          <cell r="AD115">
            <v>109070</v>
          </cell>
          <cell r="AE115">
            <v>111450</v>
          </cell>
          <cell r="AF115">
            <v>111490</v>
          </cell>
          <cell r="AG115">
            <v>111340</v>
          </cell>
          <cell r="AH115">
            <v>111480</v>
          </cell>
        </row>
        <row r="116">
          <cell r="S116">
            <v>107080</v>
          </cell>
          <cell r="T116">
            <v>107110</v>
          </cell>
          <cell r="U116">
            <v>107080</v>
          </cell>
          <cell r="V116">
            <v>107100</v>
          </cell>
          <cell r="W116">
            <v>115070</v>
          </cell>
          <cell r="X116">
            <v>115110</v>
          </cell>
          <cell r="Y116">
            <v>115040</v>
          </cell>
          <cell r="Z116">
            <v>115050</v>
          </cell>
          <cell r="AA116">
            <v>109080</v>
          </cell>
          <cell r="AB116">
            <v>109090</v>
          </cell>
          <cell r="AC116">
            <v>109030</v>
          </cell>
          <cell r="AD116">
            <v>109090</v>
          </cell>
          <cell r="AE116">
            <v>111490</v>
          </cell>
          <cell r="AF116">
            <v>111540</v>
          </cell>
          <cell r="AG116">
            <v>111480</v>
          </cell>
          <cell r="AH116">
            <v>111520</v>
          </cell>
        </row>
        <row r="117">
          <cell r="S117">
            <v>107070</v>
          </cell>
          <cell r="T117">
            <v>107070</v>
          </cell>
          <cell r="U117">
            <v>106990</v>
          </cell>
          <cell r="V117">
            <v>107010</v>
          </cell>
          <cell r="W117">
            <v>115060</v>
          </cell>
          <cell r="X117">
            <v>115060</v>
          </cell>
          <cell r="Y117">
            <v>114990</v>
          </cell>
          <cell r="Z117">
            <v>115000</v>
          </cell>
          <cell r="AA117">
            <v>109070</v>
          </cell>
          <cell r="AB117">
            <v>109120</v>
          </cell>
          <cell r="AC117">
            <v>109050</v>
          </cell>
          <cell r="AD117">
            <v>109090</v>
          </cell>
          <cell r="AE117">
            <v>111540</v>
          </cell>
          <cell r="AF117">
            <v>111540</v>
          </cell>
          <cell r="AG117">
            <v>111400</v>
          </cell>
          <cell r="AH117">
            <v>111440</v>
          </cell>
        </row>
        <row r="118">
          <cell r="S118">
            <v>107000</v>
          </cell>
          <cell r="T118">
            <v>107020</v>
          </cell>
          <cell r="U118">
            <v>106990</v>
          </cell>
          <cell r="V118">
            <v>107000</v>
          </cell>
          <cell r="W118">
            <v>115010</v>
          </cell>
          <cell r="X118">
            <v>115030</v>
          </cell>
          <cell r="Y118">
            <v>114880</v>
          </cell>
          <cell r="Z118">
            <v>114900</v>
          </cell>
          <cell r="AA118">
            <v>109090</v>
          </cell>
          <cell r="AB118">
            <v>109110</v>
          </cell>
          <cell r="AC118">
            <v>109010</v>
          </cell>
          <cell r="AD118">
            <v>109020</v>
          </cell>
          <cell r="AE118">
            <v>111440</v>
          </cell>
          <cell r="AF118">
            <v>111440</v>
          </cell>
          <cell r="AG118">
            <v>111350</v>
          </cell>
          <cell r="AH118">
            <v>111400</v>
          </cell>
        </row>
        <row r="119">
          <cell r="S119">
            <v>106980</v>
          </cell>
          <cell r="T119">
            <v>106980</v>
          </cell>
          <cell r="U119">
            <v>106910</v>
          </cell>
          <cell r="V119">
            <v>106940</v>
          </cell>
          <cell r="W119">
            <v>114920</v>
          </cell>
          <cell r="X119">
            <v>114950</v>
          </cell>
          <cell r="Y119">
            <v>114900</v>
          </cell>
          <cell r="Z119">
            <v>114920</v>
          </cell>
          <cell r="AA119">
            <v>109030</v>
          </cell>
          <cell r="AB119">
            <v>109040</v>
          </cell>
          <cell r="AC119">
            <v>108970</v>
          </cell>
          <cell r="AD119">
            <v>109030</v>
          </cell>
          <cell r="AE119">
            <v>111400</v>
          </cell>
          <cell r="AF119">
            <v>111480</v>
          </cell>
          <cell r="AG119">
            <v>111380</v>
          </cell>
          <cell r="AH119">
            <v>111450</v>
          </cell>
        </row>
        <row r="120">
          <cell r="S120">
            <v>106980</v>
          </cell>
          <cell r="T120">
            <v>107030</v>
          </cell>
          <cell r="U120">
            <v>106980</v>
          </cell>
          <cell r="V120">
            <v>107010</v>
          </cell>
          <cell r="W120">
            <v>114910</v>
          </cell>
          <cell r="X120">
            <v>114970</v>
          </cell>
          <cell r="Y120">
            <v>114900</v>
          </cell>
          <cell r="Z120">
            <v>114970</v>
          </cell>
          <cell r="AA120">
            <v>109020</v>
          </cell>
          <cell r="AB120">
            <v>109030</v>
          </cell>
          <cell r="AC120">
            <v>108830</v>
          </cell>
          <cell r="AD120">
            <v>108840</v>
          </cell>
          <cell r="AE120">
            <v>111460</v>
          </cell>
          <cell r="AF120">
            <v>111480</v>
          </cell>
          <cell r="AG120">
            <v>111340</v>
          </cell>
          <cell r="AH120">
            <v>111340</v>
          </cell>
        </row>
        <row r="121">
          <cell r="S121">
            <v>106990</v>
          </cell>
          <cell r="T121">
            <v>106990</v>
          </cell>
          <cell r="U121">
            <v>106930</v>
          </cell>
          <cell r="V121">
            <v>106930</v>
          </cell>
          <cell r="W121">
            <v>114960</v>
          </cell>
          <cell r="X121">
            <v>115080</v>
          </cell>
          <cell r="Y121">
            <v>114940</v>
          </cell>
          <cell r="Z121">
            <v>115020</v>
          </cell>
          <cell r="AA121">
            <v>108850</v>
          </cell>
          <cell r="AB121">
            <v>108870</v>
          </cell>
          <cell r="AC121">
            <v>108680</v>
          </cell>
          <cell r="AD121">
            <v>108700</v>
          </cell>
          <cell r="AE121">
            <v>111350</v>
          </cell>
          <cell r="AF121">
            <v>111350</v>
          </cell>
          <cell r="AG121">
            <v>111220</v>
          </cell>
          <cell r="AH121">
            <v>111230</v>
          </cell>
        </row>
        <row r="122">
          <cell r="S122">
            <v>106940</v>
          </cell>
          <cell r="T122">
            <v>106940</v>
          </cell>
          <cell r="U122">
            <v>106930</v>
          </cell>
          <cell r="V122">
            <v>106940</v>
          </cell>
          <cell r="W122">
            <v>115030</v>
          </cell>
          <cell r="X122">
            <v>115080</v>
          </cell>
          <cell r="Y122">
            <v>115010</v>
          </cell>
          <cell r="Z122">
            <v>115020</v>
          </cell>
          <cell r="AA122">
            <v>108700</v>
          </cell>
          <cell r="AB122">
            <v>108730</v>
          </cell>
          <cell r="AC122">
            <v>108620</v>
          </cell>
          <cell r="AD122">
            <v>108680</v>
          </cell>
          <cell r="AE122">
            <v>111230</v>
          </cell>
          <cell r="AF122">
            <v>111300</v>
          </cell>
          <cell r="AG122">
            <v>111190</v>
          </cell>
          <cell r="AH122">
            <v>111290</v>
          </cell>
        </row>
        <row r="123">
          <cell r="S123">
            <v>106960</v>
          </cell>
          <cell r="T123">
            <v>107000</v>
          </cell>
          <cell r="U123">
            <v>106960</v>
          </cell>
          <cell r="V123">
            <v>107000</v>
          </cell>
          <cell r="W123">
            <v>115040</v>
          </cell>
          <cell r="X123">
            <v>115040</v>
          </cell>
          <cell r="Y123">
            <v>114910</v>
          </cell>
          <cell r="Z123">
            <v>114930</v>
          </cell>
          <cell r="AA123">
            <v>108680</v>
          </cell>
          <cell r="AB123">
            <v>108750</v>
          </cell>
          <cell r="AC123">
            <v>108630</v>
          </cell>
          <cell r="AD123">
            <v>108650</v>
          </cell>
          <cell r="AE123">
            <v>111280</v>
          </cell>
          <cell r="AF123">
            <v>111350</v>
          </cell>
          <cell r="AG123">
            <v>111280</v>
          </cell>
          <cell r="AH123">
            <v>111350</v>
          </cell>
        </row>
        <row r="124">
          <cell r="S124">
            <v>107030</v>
          </cell>
          <cell r="T124">
            <v>107050</v>
          </cell>
          <cell r="U124">
            <v>107000</v>
          </cell>
          <cell r="V124">
            <v>107000</v>
          </cell>
          <cell r="W124">
            <v>114930</v>
          </cell>
          <cell r="X124">
            <v>114930</v>
          </cell>
          <cell r="Y124">
            <v>114830</v>
          </cell>
          <cell r="Z124">
            <v>114860</v>
          </cell>
          <cell r="AA124">
            <v>108650</v>
          </cell>
          <cell r="AB124">
            <v>108750</v>
          </cell>
          <cell r="AC124">
            <v>108640</v>
          </cell>
          <cell r="AD124">
            <v>108750</v>
          </cell>
          <cell r="AE124">
            <v>111340</v>
          </cell>
          <cell r="AF124">
            <v>111440</v>
          </cell>
          <cell r="AG124">
            <v>111320</v>
          </cell>
          <cell r="AH124">
            <v>111400</v>
          </cell>
        </row>
        <row r="125">
          <cell r="S125">
            <v>106970</v>
          </cell>
          <cell r="T125">
            <v>107000</v>
          </cell>
          <cell r="U125">
            <v>106970</v>
          </cell>
          <cell r="V125">
            <v>107000</v>
          </cell>
          <cell r="W125">
            <v>114860</v>
          </cell>
          <cell r="X125">
            <v>114900</v>
          </cell>
          <cell r="Y125">
            <v>114820</v>
          </cell>
          <cell r="Z125">
            <v>114870</v>
          </cell>
          <cell r="AA125">
            <v>108750</v>
          </cell>
          <cell r="AB125">
            <v>108760</v>
          </cell>
          <cell r="AC125">
            <v>108660</v>
          </cell>
          <cell r="AD125">
            <v>108700</v>
          </cell>
          <cell r="AE125">
            <v>111410</v>
          </cell>
          <cell r="AF125">
            <v>111430</v>
          </cell>
          <cell r="AG125">
            <v>111330</v>
          </cell>
          <cell r="AH125">
            <v>111350</v>
          </cell>
        </row>
        <row r="126">
          <cell r="S126">
            <v>106950</v>
          </cell>
          <cell r="T126">
            <v>106990</v>
          </cell>
          <cell r="U126">
            <v>106940</v>
          </cell>
          <cell r="V126">
            <v>106960</v>
          </cell>
          <cell r="W126">
            <v>114860</v>
          </cell>
          <cell r="X126">
            <v>114940</v>
          </cell>
          <cell r="Y126">
            <v>114850</v>
          </cell>
          <cell r="Z126">
            <v>114850</v>
          </cell>
          <cell r="AA126">
            <v>108700</v>
          </cell>
          <cell r="AB126">
            <v>108730</v>
          </cell>
          <cell r="AC126">
            <v>108650</v>
          </cell>
          <cell r="AD126">
            <v>108720</v>
          </cell>
          <cell r="AE126">
            <v>111360</v>
          </cell>
          <cell r="AF126">
            <v>111370</v>
          </cell>
          <cell r="AG126">
            <v>111310</v>
          </cell>
          <cell r="AH126">
            <v>111370</v>
          </cell>
        </row>
        <row r="127">
          <cell r="S127">
            <v>107020</v>
          </cell>
          <cell r="T127">
            <v>107030</v>
          </cell>
          <cell r="U127">
            <v>106960</v>
          </cell>
          <cell r="V127">
            <v>106980</v>
          </cell>
          <cell r="W127">
            <v>114860</v>
          </cell>
          <cell r="X127">
            <v>114860</v>
          </cell>
          <cell r="Y127">
            <v>114800</v>
          </cell>
          <cell r="Z127">
            <v>114830</v>
          </cell>
          <cell r="AA127">
            <v>108720</v>
          </cell>
          <cell r="AB127">
            <v>108810</v>
          </cell>
          <cell r="AC127">
            <v>108700</v>
          </cell>
          <cell r="AD127">
            <v>108740</v>
          </cell>
          <cell r="AE127">
            <v>111360</v>
          </cell>
          <cell r="AF127">
            <v>111420</v>
          </cell>
          <cell r="AG127">
            <v>111350</v>
          </cell>
          <cell r="AH127">
            <v>111380</v>
          </cell>
        </row>
        <row r="128">
          <cell r="S128">
            <v>107030</v>
          </cell>
          <cell r="T128">
            <v>107030</v>
          </cell>
          <cell r="U128">
            <v>107030</v>
          </cell>
          <cell r="V128">
            <v>107030</v>
          </cell>
          <cell r="W128">
            <v>114850</v>
          </cell>
          <cell r="X128">
            <v>114900</v>
          </cell>
          <cell r="Y128">
            <v>114780</v>
          </cell>
          <cell r="Z128">
            <v>114890</v>
          </cell>
          <cell r="AA128">
            <v>108750</v>
          </cell>
          <cell r="AB128">
            <v>108770</v>
          </cell>
          <cell r="AC128">
            <v>108670</v>
          </cell>
          <cell r="AD128">
            <v>108670</v>
          </cell>
          <cell r="AE128">
            <v>111370</v>
          </cell>
          <cell r="AF128">
            <v>111390</v>
          </cell>
          <cell r="AG128">
            <v>111310</v>
          </cell>
          <cell r="AH128">
            <v>111330</v>
          </cell>
        </row>
        <row r="129">
          <cell r="S129">
            <v>107060</v>
          </cell>
          <cell r="T129">
            <v>107140</v>
          </cell>
          <cell r="U129">
            <v>107050</v>
          </cell>
          <cell r="V129">
            <v>107140</v>
          </cell>
          <cell r="W129">
            <v>114880</v>
          </cell>
          <cell r="X129">
            <v>114890</v>
          </cell>
          <cell r="Y129">
            <v>114770</v>
          </cell>
          <cell r="Z129">
            <v>114860</v>
          </cell>
          <cell r="AA129">
            <v>108680</v>
          </cell>
          <cell r="AB129">
            <v>108680</v>
          </cell>
          <cell r="AC129">
            <v>108430</v>
          </cell>
          <cell r="AD129">
            <v>108530</v>
          </cell>
          <cell r="AE129">
            <v>111340</v>
          </cell>
          <cell r="AF129">
            <v>111400</v>
          </cell>
          <cell r="AG129">
            <v>111320</v>
          </cell>
          <cell r="AH129">
            <v>111380</v>
          </cell>
        </row>
        <row r="130">
          <cell r="S130">
            <v>107120</v>
          </cell>
          <cell r="T130">
            <v>107170</v>
          </cell>
          <cell r="U130">
            <v>107100</v>
          </cell>
          <cell r="V130">
            <v>107160</v>
          </cell>
          <cell r="W130">
            <v>114860</v>
          </cell>
          <cell r="X130">
            <v>114910</v>
          </cell>
          <cell r="Y130">
            <v>114850</v>
          </cell>
          <cell r="Z130">
            <v>114900</v>
          </cell>
          <cell r="AA130">
            <v>108520</v>
          </cell>
          <cell r="AB130">
            <v>108630</v>
          </cell>
          <cell r="AC130">
            <v>108500</v>
          </cell>
          <cell r="AD130">
            <v>108590</v>
          </cell>
          <cell r="AE130">
            <v>111380</v>
          </cell>
          <cell r="AF130">
            <v>111430</v>
          </cell>
          <cell r="AG130">
            <v>111350</v>
          </cell>
          <cell r="AH130">
            <v>111430</v>
          </cell>
        </row>
        <row r="131">
          <cell r="S131">
            <v>107090</v>
          </cell>
          <cell r="T131">
            <v>107140</v>
          </cell>
          <cell r="U131">
            <v>107080</v>
          </cell>
          <cell r="V131">
            <v>107140</v>
          </cell>
          <cell r="W131">
            <v>114890</v>
          </cell>
          <cell r="X131">
            <v>114890</v>
          </cell>
          <cell r="Y131">
            <v>114830</v>
          </cell>
          <cell r="Z131">
            <v>114830</v>
          </cell>
          <cell r="AA131">
            <v>108590</v>
          </cell>
          <cell r="AB131">
            <v>108650</v>
          </cell>
          <cell r="AC131">
            <v>108560</v>
          </cell>
          <cell r="AD131">
            <v>108620</v>
          </cell>
          <cell r="AE131">
            <v>111430</v>
          </cell>
          <cell r="AF131">
            <v>111500</v>
          </cell>
          <cell r="AG131">
            <v>111420</v>
          </cell>
          <cell r="AH131">
            <v>111450</v>
          </cell>
        </row>
        <row r="132">
          <cell r="S132">
            <v>107090</v>
          </cell>
          <cell r="T132">
            <v>107090</v>
          </cell>
          <cell r="U132">
            <v>107090</v>
          </cell>
          <cell r="V132">
            <v>107090</v>
          </cell>
          <cell r="W132">
            <v>114840</v>
          </cell>
          <cell r="X132">
            <v>114890</v>
          </cell>
          <cell r="Y132">
            <v>114830</v>
          </cell>
          <cell r="Z132">
            <v>114870</v>
          </cell>
          <cell r="AA132">
            <v>108630</v>
          </cell>
          <cell r="AB132">
            <v>108660</v>
          </cell>
          <cell r="AC132">
            <v>108550</v>
          </cell>
          <cell r="AD132">
            <v>108630</v>
          </cell>
          <cell r="AE132">
            <v>111460</v>
          </cell>
          <cell r="AF132">
            <v>111470</v>
          </cell>
          <cell r="AG132">
            <v>111420</v>
          </cell>
          <cell r="AH132">
            <v>111430</v>
          </cell>
        </row>
        <row r="133">
          <cell r="S133">
            <v>107120</v>
          </cell>
          <cell r="T133">
            <v>107120</v>
          </cell>
          <cell r="U133">
            <v>107060</v>
          </cell>
          <cell r="V133">
            <v>107060</v>
          </cell>
          <cell r="W133">
            <v>114890</v>
          </cell>
          <cell r="X133">
            <v>114930</v>
          </cell>
          <cell r="Y133">
            <v>114840</v>
          </cell>
          <cell r="Z133">
            <v>114910</v>
          </cell>
          <cell r="AA133">
            <v>108620</v>
          </cell>
          <cell r="AB133">
            <v>108670</v>
          </cell>
          <cell r="AC133">
            <v>108580</v>
          </cell>
          <cell r="AD133">
            <v>108640</v>
          </cell>
          <cell r="AE133">
            <v>111450</v>
          </cell>
          <cell r="AF133">
            <v>111470</v>
          </cell>
          <cell r="AG133">
            <v>111440</v>
          </cell>
          <cell r="AH133">
            <v>111460</v>
          </cell>
        </row>
        <row r="134">
          <cell r="S134">
            <v>107080</v>
          </cell>
          <cell r="T134">
            <v>107080</v>
          </cell>
          <cell r="U134">
            <v>107060</v>
          </cell>
          <cell r="V134">
            <v>107060</v>
          </cell>
          <cell r="W134">
            <v>114920</v>
          </cell>
          <cell r="X134">
            <v>114940</v>
          </cell>
          <cell r="Y134">
            <v>114870</v>
          </cell>
          <cell r="Z134">
            <v>114870</v>
          </cell>
          <cell r="AA134">
            <v>108640</v>
          </cell>
          <cell r="AB134">
            <v>108890</v>
          </cell>
          <cell r="AC134">
            <v>108610</v>
          </cell>
          <cell r="AD134">
            <v>108830</v>
          </cell>
          <cell r="AE134">
            <v>111460</v>
          </cell>
          <cell r="AF134">
            <v>111490</v>
          </cell>
          <cell r="AG134">
            <v>111410</v>
          </cell>
          <cell r="AH134">
            <v>111420</v>
          </cell>
        </row>
        <row r="135">
          <cell r="S135">
            <v>107140</v>
          </cell>
          <cell r="T135">
            <v>107190</v>
          </cell>
          <cell r="U135">
            <v>107140</v>
          </cell>
          <cell r="V135">
            <v>107190</v>
          </cell>
          <cell r="W135">
            <v>114870</v>
          </cell>
          <cell r="X135">
            <v>114890</v>
          </cell>
          <cell r="Y135">
            <v>114840</v>
          </cell>
          <cell r="Z135">
            <v>114840</v>
          </cell>
          <cell r="AA135">
            <v>108830</v>
          </cell>
          <cell r="AB135">
            <v>108880</v>
          </cell>
          <cell r="AC135">
            <v>108810</v>
          </cell>
          <cell r="AD135">
            <v>108860</v>
          </cell>
          <cell r="AE135">
            <v>111410</v>
          </cell>
          <cell r="AF135">
            <v>111490</v>
          </cell>
          <cell r="AG135">
            <v>111410</v>
          </cell>
          <cell r="AH135">
            <v>111420</v>
          </cell>
        </row>
        <row r="136">
          <cell r="S136">
            <v>107200</v>
          </cell>
          <cell r="T136">
            <v>107210</v>
          </cell>
          <cell r="U136">
            <v>107130</v>
          </cell>
          <cell r="V136">
            <v>107130</v>
          </cell>
          <cell r="W136">
            <v>114850</v>
          </cell>
          <cell r="X136">
            <v>114920</v>
          </cell>
          <cell r="Y136">
            <v>114850</v>
          </cell>
          <cell r="Z136">
            <v>114910</v>
          </cell>
          <cell r="AA136">
            <v>108860</v>
          </cell>
          <cell r="AB136">
            <v>109020</v>
          </cell>
          <cell r="AC136">
            <v>108830</v>
          </cell>
          <cell r="AD136">
            <v>109000</v>
          </cell>
          <cell r="AE136">
            <v>111430</v>
          </cell>
          <cell r="AF136">
            <v>111510</v>
          </cell>
          <cell r="AG136">
            <v>111430</v>
          </cell>
          <cell r="AH136">
            <v>111490</v>
          </cell>
        </row>
        <row r="137">
          <cell r="S137">
            <v>107150</v>
          </cell>
          <cell r="T137">
            <v>107150</v>
          </cell>
          <cell r="U137">
            <v>107150</v>
          </cell>
          <cell r="V137">
            <v>107150</v>
          </cell>
          <cell r="W137">
            <v>114910</v>
          </cell>
          <cell r="X137">
            <v>114990</v>
          </cell>
          <cell r="Y137">
            <v>114910</v>
          </cell>
          <cell r="Z137">
            <v>114950</v>
          </cell>
          <cell r="AA137">
            <v>109000</v>
          </cell>
          <cell r="AB137">
            <v>109010</v>
          </cell>
          <cell r="AC137">
            <v>108840</v>
          </cell>
          <cell r="AD137">
            <v>108850</v>
          </cell>
          <cell r="AE137">
            <v>111490</v>
          </cell>
          <cell r="AF137">
            <v>111530</v>
          </cell>
          <cell r="AG137">
            <v>111440</v>
          </cell>
          <cell r="AH137">
            <v>111450</v>
          </cell>
        </row>
        <row r="138">
          <cell r="S138">
            <v>107130</v>
          </cell>
          <cell r="T138">
            <v>107140</v>
          </cell>
          <cell r="U138">
            <v>107130</v>
          </cell>
          <cell r="V138">
            <v>107140</v>
          </cell>
          <cell r="W138">
            <v>114960</v>
          </cell>
          <cell r="X138">
            <v>115000</v>
          </cell>
          <cell r="Y138">
            <v>114950</v>
          </cell>
          <cell r="Z138">
            <v>114990</v>
          </cell>
          <cell r="AA138">
            <v>108850</v>
          </cell>
          <cell r="AB138">
            <v>108880</v>
          </cell>
          <cell r="AC138">
            <v>108830</v>
          </cell>
          <cell r="AD138">
            <v>108840</v>
          </cell>
          <cell r="AE138">
            <v>111460</v>
          </cell>
          <cell r="AF138">
            <v>111520</v>
          </cell>
          <cell r="AG138">
            <v>111450</v>
          </cell>
          <cell r="AH138">
            <v>111490</v>
          </cell>
        </row>
        <row r="139">
          <cell r="S139">
            <v>107150</v>
          </cell>
          <cell r="T139">
            <v>107150</v>
          </cell>
          <cell r="U139">
            <v>107140</v>
          </cell>
          <cell r="V139">
            <v>107140</v>
          </cell>
          <cell r="W139">
            <v>114990</v>
          </cell>
          <cell r="X139">
            <v>115070</v>
          </cell>
          <cell r="Y139">
            <v>114970</v>
          </cell>
          <cell r="Z139">
            <v>115020</v>
          </cell>
          <cell r="AA139">
            <v>108840</v>
          </cell>
          <cell r="AB139">
            <v>108960</v>
          </cell>
          <cell r="AC139">
            <v>108830</v>
          </cell>
          <cell r="AD139">
            <v>108940</v>
          </cell>
          <cell r="AE139">
            <v>111490</v>
          </cell>
          <cell r="AF139">
            <v>111530</v>
          </cell>
          <cell r="AG139">
            <v>111460</v>
          </cell>
          <cell r="AH139">
            <v>111470</v>
          </cell>
        </row>
        <row r="140">
          <cell r="S140">
            <v>107140</v>
          </cell>
          <cell r="T140">
            <v>107140</v>
          </cell>
          <cell r="U140">
            <v>107140</v>
          </cell>
          <cell r="V140">
            <v>107140</v>
          </cell>
          <cell r="W140">
            <v>115010</v>
          </cell>
          <cell r="X140">
            <v>115040</v>
          </cell>
          <cell r="Y140">
            <v>114940</v>
          </cell>
          <cell r="Z140">
            <v>115020</v>
          </cell>
          <cell r="AA140">
            <v>108950</v>
          </cell>
          <cell r="AB140">
            <v>109080</v>
          </cell>
          <cell r="AC140">
            <v>108910</v>
          </cell>
          <cell r="AD140">
            <v>109010</v>
          </cell>
          <cell r="AE140">
            <v>111460</v>
          </cell>
          <cell r="AF140">
            <v>111510</v>
          </cell>
          <cell r="AG140">
            <v>111440</v>
          </cell>
          <cell r="AH140">
            <v>111480</v>
          </cell>
        </row>
        <row r="141">
          <cell r="S141">
            <v>107100</v>
          </cell>
          <cell r="T141">
            <v>107160</v>
          </cell>
          <cell r="U141">
            <v>107090</v>
          </cell>
          <cell r="V141">
            <v>107160</v>
          </cell>
          <cell r="W141">
            <v>115010</v>
          </cell>
          <cell r="X141">
            <v>115130</v>
          </cell>
          <cell r="Y141">
            <v>114980</v>
          </cell>
          <cell r="Z141">
            <v>115090</v>
          </cell>
          <cell r="AA141">
            <v>109010</v>
          </cell>
          <cell r="AB141">
            <v>109040</v>
          </cell>
          <cell r="AC141">
            <v>108970</v>
          </cell>
          <cell r="AD141">
            <v>109020</v>
          </cell>
          <cell r="AE141">
            <v>111490</v>
          </cell>
          <cell r="AF141">
            <v>111500</v>
          </cell>
          <cell r="AG141">
            <v>111470</v>
          </cell>
          <cell r="AH141">
            <v>111500</v>
          </cell>
        </row>
        <row r="142">
          <cell r="S142">
            <v>107180</v>
          </cell>
          <cell r="T142">
            <v>107200</v>
          </cell>
          <cell r="U142">
            <v>107130</v>
          </cell>
          <cell r="V142">
            <v>107130</v>
          </cell>
          <cell r="W142">
            <v>115090</v>
          </cell>
          <cell r="X142">
            <v>115090</v>
          </cell>
          <cell r="Y142">
            <v>115040</v>
          </cell>
          <cell r="Z142">
            <v>115060</v>
          </cell>
          <cell r="AA142">
            <v>109020</v>
          </cell>
          <cell r="AB142">
            <v>109040</v>
          </cell>
          <cell r="AC142">
            <v>108950</v>
          </cell>
          <cell r="AD142">
            <v>108980</v>
          </cell>
          <cell r="AE142">
            <v>111490</v>
          </cell>
          <cell r="AF142">
            <v>111490</v>
          </cell>
          <cell r="AG142">
            <v>111430</v>
          </cell>
          <cell r="AH142">
            <v>111440</v>
          </cell>
        </row>
        <row r="143">
          <cell r="S143">
            <v>107130</v>
          </cell>
          <cell r="T143">
            <v>107130</v>
          </cell>
          <cell r="U143">
            <v>107100</v>
          </cell>
          <cell r="V143">
            <v>107100</v>
          </cell>
          <cell r="W143">
            <v>115070</v>
          </cell>
          <cell r="X143">
            <v>115090</v>
          </cell>
          <cell r="Y143">
            <v>115050</v>
          </cell>
          <cell r="Z143">
            <v>115060</v>
          </cell>
          <cell r="AA143">
            <v>108980</v>
          </cell>
          <cell r="AB143">
            <v>109070</v>
          </cell>
          <cell r="AC143">
            <v>108970</v>
          </cell>
          <cell r="AD143">
            <v>109070</v>
          </cell>
          <cell r="AE143">
            <v>111460</v>
          </cell>
          <cell r="AF143">
            <v>111470</v>
          </cell>
          <cell r="AG143">
            <v>111450</v>
          </cell>
          <cell r="AH143">
            <v>111450</v>
          </cell>
        </row>
        <row r="144">
          <cell r="S144">
            <v>107140</v>
          </cell>
          <cell r="T144">
            <v>107140</v>
          </cell>
          <cell r="U144">
            <v>107140</v>
          </cell>
          <cell r="V144">
            <v>107140</v>
          </cell>
          <cell r="W144">
            <v>115050</v>
          </cell>
          <cell r="X144">
            <v>115050</v>
          </cell>
          <cell r="Y144">
            <v>114970</v>
          </cell>
          <cell r="Z144">
            <v>114970</v>
          </cell>
          <cell r="AA144">
            <v>109070</v>
          </cell>
          <cell r="AB144">
            <v>109170</v>
          </cell>
          <cell r="AC144">
            <v>109070</v>
          </cell>
          <cell r="AD144">
            <v>109140</v>
          </cell>
          <cell r="AE144">
            <v>111460</v>
          </cell>
          <cell r="AF144">
            <v>111460</v>
          </cell>
          <cell r="AG144">
            <v>111410</v>
          </cell>
          <cell r="AH144">
            <v>111410</v>
          </cell>
        </row>
        <row r="145">
          <cell r="S145">
            <v>107150</v>
          </cell>
          <cell r="T145">
            <v>107170</v>
          </cell>
          <cell r="U145">
            <v>107150</v>
          </cell>
          <cell r="V145">
            <v>107170</v>
          </cell>
          <cell r="W145">
            <v>115000</v>
          </cell>
          <cell r="X145">
            <v>115000</v>
          </cell>
          <cell r="Y145">
            <v>114920</v>
          </cell>
          <cell r="Z145">
            <v>114950</v>
          </cell>
          <cell r="AA145">
            <v>109140</v>
          </cell>
          <cell r="AB145">
            <v>109150</v>
          </cell>
          <cell r="AC145">
            <v>109090</v>
          </cell>
          <cell r="AD145">
            <v>109110</v>
          </cell>
          <cell r="AE145">
            <v>111410</v>
          </cell>
          <cell r="AF145">
            <v>111460</v>
          </cell>
          <cell r="AG145">
            <v>111410</v>
          </cell>
          <cell r="AH145">
            <v>111410</v>
          </cell>
        </row>
        <row r="146">
          <cell r="S146">
            <v>107190</v>
          </cell>
          <cell r="T146">
            <v>107270</v>
          </cell>
          <cell r="U146">
            <v>107190</v>
          </cell>
          <cell r="V146">
            <v>107250</v>
          </cell>
          <cell r="W146">
            <v>114960</v>
          </cell>
          <cell r="X146">
            <v>114980</v>
          </cell>
          <cell r="Y146">
            <v>114920</v>
          </cell>
          <cell r="Z146">
            <v>114950</v>
          </cell>
          <cell r="AA146">
            <v>109100</v>
          </cell>
          <cell r="AB146">
            <v>109120</v>
          </cell>
          <cell r="AC146">
            <v>109020</v>
          </cell>
          <cell r="AD146">
            <v>109060</v>
          </cell>
          <cell r="AE146">
            <v>111410</v>
          </cell>
          <cell r="AF146">
            <v>111430</v>
          </cell>
          <cell r="AG146">
            <v>111370</v>
          </cell>
          <cell r="AH146">
            <v>111420</v>
          </cell>
        </row>
        <row r="147">
          <cell r="S147">
            <v>107230</v>
          </cell>
          <cell r="T147">
            <v>107230</v>
          </cell>
          <cell r="U147">
            <v>107210</v>
          </cell>
          <cell r="V147">
            <v>107210</v>
          </cell>
          <cell r="W147">
            <v>114960</v>
          </cell>
          <cell r="X147">
            <v>114980</v>
          </cell>
          <cell r="Y147">
            <v>114930</v>
          </cell>
          <cell r="Z147">
            <v>114950</v>
          </cell>
          <cell r="AA147">
            <v>109060</v>
          </cell>
          <cell r="AB147">
            <v>109170</v>
          </cell>
          <cell r="AC147">
            <v>109030</v>
          </cell>
          <cell r="AD147">
            <v>109120</v>
          </cell>
          <cell r="AE147">
            <v>111420</v>
          </cell>
          <cell r="AF147">
            <v>111420</v>
          </cell>
          <cell r="AG147">
            <v>111370</v>
          </cell>
          <cell r="AH147">
            <v>111390</v>
          </cell>
        </row>
        <row r="148">
          <cell r="S148">
            <v>107200</v>
          </cell>
          <cell r="T148">
            <v>107250</v>
          </cell>
          <cell r="U148">
            <v>107190</v>
          </cell>
          <cell r="V148">
            <v>107250</v>
          </cell>
          <cell r="W148">
            <v>114950</v>
          </cell>
          <cell r="X148">
            <v>115050</v>
          </cell>
          <cell r="Y148">
            <v>114920</v>
          </cell>
          <cell r="Z148">
            <v>115050</v>
          </cell>
          <cell r="AA148">
            <v>109130</v>
          </cell>
          <cell r="AB148">
            <v>109220</v>
          </cell>
          <cell r="AC148">
            <v>109090</v>
          </cell>
          <cell r="AD148">
            <v>109150</v>
          </cell>
          <cell r="AE148">
            <v>111400</v>
          </cell>
          <cell r="AF148">
            <v>111410</v>
          </cell>
          <cell r="AG148">
            <v>111360</v>
          </cell>
          <cell r="AH148">
            <v>111370</v>
          </cell>
        </row>
        <row r="149">
          <cell r="S149">
            <v>107240</v>
          </cell>
          <cell r="T149">
            <v>107250</v>
          </cell>
          <cell r="U149">
            <v>107240</v>
          </cell>
          <cell r="V149">
            <v>107250</v>
          </cell>
          <cell r="W149">
            <v>115040</v>
          </cell>
          <cell r="X149">
            <v>115050</v>
          </cell>
          <cell r="Y149">
            <v>115000</v>
          </cell>
          <cell r="Z149">
            <v>115000</v>
          </cell>
          <cell r="AA149">
            <v>109150</v>
          </cell>
          <cell r="AB149">
            <v>109410</v>
          </cell>
          <cell r="AC149">
            <v>109140</v>
          </cell>
          <cell r="AD149">
            <v>109410</v>
          </cell>
          <cell r="AE149">
            <v>111360</v>
          </cell>
          <cell r="AF149">
            <v>111420</v>
          </cell>
          <cell r="AG149">
            <v>111350</v>
          </cell>
          <cell r="AH149">
            <v>111390</v>
          </cell>
        </row>
        <row r="150">
          <cell r="S150">
            <v>107250</v>
          </cell>
          <cell r="T150">
            <v>107280</v>
          </cell>
          <cell r="U150">
            <v>107230</v>
          </cell>
          <cell r="V150">
            <v>107230</v>
          </cell>
          <cell r="W150">
            <v>115000</v>
          </cell>
          <cell r="X150">
            <v>115050</v>
          </cell>
          <cell r="Y150">
            <v>114970</v>
          </cell>
          <cell r="Z150">
            <v>114980</v>
          </cell>
          <cell r="AA150">
            <v>109400</v>
          </cell>
          <cell r="AB150">
            <v>109800</v>
          </cell>
          <cell r="AC150">
            <v>109390</v>
          </cell>
          <cell r="AD150">
            <v>109790</v>
          </cell>
          <cell r="AE150">
            <v>111400</v>
          </cell>
          <cell r="AF150">
            <v>111450</v>
          </cell>
          <cell r="AG150">
            <v>111390</v>
          </cell>
          <cell r="AH150">
            <v>111440</v>
          </cell>
        </row>
        <row r="151">
          <cell r="S151">
            <v>107210</v>
          </cell>
          <cell r="T151">
            <v>107210</v>
          </cell>
          <cell r="U151">
            <v>107210</v>
          </cell>
          <cell r="V151">
            <v>107210</v>
          </cell>
          <cell r="W151">
            <v>114980</v>
          </cell>
          <cell r="X151">
            <v>115040</v>
          </cell>
          <cell r="Y151">
            <v>114970</v>
          </cell>
          <cell r="Z151">
            <v>115000</v>
          </cell>
          <cell r="AA151">
            <v>109790</v>
          </cell>
          <cell r="AB151">
            <v>109860</v>
          </cell>
          <cell r="AC151">
            <v>109710</v>
          </cell>
          <cell r="AD151">
            <v>109720</v>
          </cell>
          <cell r="AE151">
            <v>111440</v>
          </cell>
          <cell r="AF151">
            <v>111450</v>
          </cell>
          <cell r="AG151">
            <v>111400</v>
          </cell>
          <cell r="AH151">
            <v>111430</v>
          </cell>
        </row>
        <row r="152">
          <cell r="S152">
            <v>107180</v>
          </cell>
          <cell r="T152">
            <v>107210</v>
          </cell>
          <cell r="U152">
            <v>107180</v>
          </cell>
          <cell r="V152">
            <v>107210</v>
          </cell>
          <cell r="W152">
            <v>114990</v>
          </cell>
          <cell r="X152">
            <v>115040</v>
          </cell>
          <cell r="Y152">
            <v>114970</v>
          </cell>
          <cell r="Z152">
            <v>114980</v>
          </cell>
          <cell r="AA152">
            <v>109720</v>
          </cell>
          <cell r="AB152">
            <v>109820</v>
          </cell>
          <cell r="AC152">
            <v>109720</v>
          </cell>
          <cell r="AD152">
            <v>109810</v>
          </cell>
          <cell r="AE152">
            <v>111410</v>
          </cell>
          <cell r="AF152">
            <v>111420</v>
          </cell>
          <cell r="AG152">
            <v>111330</v>
          </cell>
          <cell r="AH152">
            <v>111370</v>
          </cell>
        </row>
        <row r="153">
          <cell r="S153">
            <v>107190</v>
          </cell>
          <cell r="T153">
            <v>107280</v>
          </cell>
          <cell r="U153">
            <v>107190</v>
          </cell>
          <cell r="V153">
            <v>107280</v>
          </cell>
          <cell r="W153">
            <v>114990</v>
          </cell>
          <cell r="X153">
            <v>115000</v>
          </cell>
          <cell r="Y153">
            <v>114890</v>
          </cell>
          <cell r="Z153">
            <v>114910</v>
          </cell>
          <cell r="AA153">
            <v>109800</v>
          </cell>
          <cell r="AB153">
            <v>109830</v>
          </cell>
          <cell r="AC153">
            <v>109620</v>
          </cell>
          <cell r="AD153">
            <v>109650</v>
          </cell>
          <cell r="AE153">
            <v>111370</v>
          </cell>
          <cell r="AF153">
            <v>111450</v>
          </cell>
          <cell r="AG153">
            <v>111370</v>
          </cell>
          <cell r="AH153">
            <v>111440</v>
          </cell>
        </row>
        <row r="154">
          <cell r="S154">
            <v>107290</v>
          </cell>
          <cell r="T154">
            <v>107380</v>
          </cell>
          <cell r="U154">
            <v>107290</v>
          </cell>
          <cell r="V154">
            <v>107340</v>
          </cell>
          <cell r="W154">
            <v>114910</v>
          </cell>
          <cell r="X154">
            <v>114940</v>
          </cell>
          <cell r="Y154">
            <v>114900</v>
          </cell>
          <cell r="Z154">
            <v>114920</v>
          </cell>
          <cell r="AA154">
            <v>109650</v>
          </cell>
          <cell r="AB154">
            <v>109710</v>
          </cell>
          <cell r="AC154">
            <v>109640</v>
          </cell>
          <cell r="AD154">
            <v>109650</v>
          </cell>
          <cell r="AE154">
            <v>111440</v>
          </cell>
          <cell r="AF154">
            <v>111510</v>
          </cell>
          <cell r="AG154">
            <v>111430</v>
          </cell>
          <cell r="AH154">
            <v>111510</v>
          </cell>
        </row>
        <row r="155">
          <cell r="S155">
            <v>107340</v>
          </cell>
          <cell r="T155">
            <v>107350</v>
          </cell>
          <cell r="U155">
            <v>107320</v>
          </cell>
          <cell r="V155">
            <v>107320</v>
          </cell>
          <cell r="W155">
            <v>114910</v>
          </cell>
          <cell r="X155">
            <v>114950</v>
          </cell>
          <cell r="Y155">
            <v>114900</v>
          </cell>
          <cell r="Z155">
            <v>114930</v>
          </cell>
          <cell r="AA155">
            <v>109660</v>
          </cell>
          <cell r="AB155">
            <v>109740</v>
          </cell>
          <cell r="AC155">
            <v>109660</v>
          </cell>
          <cell r="AD155">
            <v>109680</v>
          </cell>
          <cell r="AE155">
            <v>111510</v>
          </cell>
          <cell r="AF155">
            <v>111510</v>
          </cell>
          <cell r="AG155">
            <v>111450</v>
          </cell>
          <cell r="AH155">
            <v>111490</v>
          </cell>
        </row>
        <row r="156">
          <cell r="S156">
            <v>107330</v>
          </cell>
          <cell r="T156">
            <v>107330</v>
          </cell>
          <cell r="U156">
            <v>107300</v>
          </cell>
          <cell r="V156">
            <v>107300</v>
          </cell>
          <cell r="W156">
            <v>114940</v>
          </cell>
          <cell r="X156">
            <v>114960</v>
          </cell>
          <cell r="Y156">
            <v>114930</v>
          </cell>
          <cell r="Z156">
            <v>114930</v>
          </cell>
          <cell r="AA156">
            <v>109690</v>
          </cell>
          <cell r="AB156">
            <v>109730</v>
          </cell>
          <cell r="AC156">
            <v>109650</v>
          </cell>
          <cell r="AD156">
            <v>109670</v>
          </cell>
          <cell r="AE156">
            <v>111500</v>
          </cell>
          <cell r="AF156">
            <v>111530</v>
          </cell>
          <cell r="AG156">
            <v>111490</v>
          </cell>
          <cell r="AH156">
            <v>111510</v>
          </cell>
        </row>
        <row r="157">
          <cell r="S157">
            <v>107300</v>
          </cell>
          <cell r="T157">
            <v>107300</v>
          </cell>
          <cell r="U157">
            <v>107300</v>
          </cell>
          <cell r="V157">
            <v>107300</v>
          </cell>
          <cell r="W157">
            <v>114920</v>
          </cell>
          <cell r="X157">
            <v>114950</v>
          </cell>
          <cell r="Y157">
            <v>114900</v>
          </cell>
          <cell r="Z157">
            <v>114910</v>
          </cell>
          <cell r="AA157">
            <v>109680</v>
          </cell>
          <cell r="AB157">
            <v>109700</v>
          </cell>
          <cell r="AC157">
            <v>109650</v>
          </cell>
          <cell r="AD157">
            <v>109680</v>
          </cell>
          <cell r="AE157">
            <v>111510</v>
          </cell>
          <cell r="AF157">
            <v>111510</v>
          </cell>
          <cell r="AG157">
            <v>111460</v>
          </cell>
          <cell r="AH157">
            <v>111480</v>
          </cell>
        </row>
        <row r="158">
          <cell r="S158">
            <v>107290</v>
          </cell>
          <cell r="T158">
            <v>107290</v>
          </cell>
          <cell r="U158">
            <v>107280</v>
          </cell>
          <cell r="V158">
            <v>107280</v>
          </cell>
          <cell r="W158">
            <v>114930</v>
          </cell>
          <cell r="X158">
            <v>114930</v>
          </cell>
          <cell r="Y158">
            <v>114860</v>
          </cell>
          <cell r="Z158">
            <v>114870</v>
          </cell>
          <cell r="AA158">
            <v>109670</v>
          </cell>
          <cell r="AB158">
            <v>109720</v>
          </cell>
          <cell r="AC158">
            <v>109630</v>
          </cell>
          <cell r="AD158">
            <v>109670</v>
          </cell>
          <cell r="AE158">
            <v>111480</v>
          </cell>
          <cell r="AF158">
            <v>111500</v>
          </cell>
          <cell r="AG158">
            <v>111460</v>
          </cell>
          <cell r="AH158">
            <v>111460</v>
          </cell>
        </row>
        <row r="159">
          <cell r="S159">
            <v>107290</v>
          </cell>
          <cell r="T159">
            <v>107320</v>
          </cell>
          <cell r="U159">
            <v>107290</v>
          </cell>
          <cell r="V159">
            <v>107320</v>
          </cell>
          <cell r="W159">
            <v>114870</v>
          </cell>
          <cell r="X159">
            <v>114900</v>
          </cell>
          <cell r="Y159">
            <v>114860</v>
          </cell>
          <cell r="Z159">
            <v>114880</v>
          </cell>
          <cell r="AA159">
            <v>109680</v>
          </cell>
          <cell r="AB159">
            <v>109740</v>
          </cell>
          <cell r="AC159">
            <v>109650</v>
          </cell>
          <cell r="AD159">
            <v>109670</v>
          </cell>
          <cell r="AE159">
            <v>111470</v>
          </cell>
          <cell r="AF159">
            <v>111480</v>
          </cell>
          <cell r="AG159">
            <v>111440</v>
          </cell>
          <cell r="AH159">
            <v>111440</v>
          </cell>
        </row>
        <row r="160">
          <cell r="S160">
            <v>107370</v>
          </cell>
          <cell r="T160">
            <v>107380</v>
          </cell>
          <cell r="U160">
            <v>107370</v>
          </cell>
          <cell r="V160">
            <v>107380</v>
          </cell>
          <cell r="W160">
            <v>114870</v>
          </cell>
          <cell r="X160">
            <v>114930</v>
          </cell>
          <cell r="Y160">
            <v>114870</v>
          </cell>
          <cell r="Z160">
            <v>114900</v>
          </cell>
          <cell r="AA160">
            <v>109670</v>
          </cell>
          <cell r="AB160">
            <v>109690</v>
          </cell>
          <cell r="AC160">
            <v>109640</v>
          </cell>
          <cell r="AD160">
            <v>109660</v>
          </cell>
          <cell r="AE160">
            <v>111450</v>
          </cell>
          <cell r="AF160">
            <v>111530</v>
          </cell>
          <cell r="AG160">
            <v>111440</v>
          </cell>
          <cell r="AH160">
            <v>111460</v>
          </cell>
        </row>
        <row r="161">
          <cell r="S161">
            <v>107390</v>
          </cell>
          <cell r="T161">
            <v>107480</v>
          </cell>
          <cell r="U161">
            <v>107390</v>
          </cell>
          <cell r="V161">
            <v>107470</v>
          </cell>
          <cell r="W161">
            <v>114900</v>
          </cell>
          <cell r="X161">
            <v>114930</v>
          </cell>
          <cell r="Y161">
            <v>114880</v>
          </cell>
          <cell r="Z161">
            <v>114910</v>
          </cell>
          <cell r="AA161">
            <v>109670</v>
          </cell>
          <cell r="AB161">
            <v>109710</v>
          </cell>
          <cell r="AC161">
            <v>109640</v>
          </cell>
          <cell r="AD161">
            <v>109710</v>
          </cell>
          <cell r="AE161">
            <v>111470</v>
          </cell>
          <cell r="AF161">
            <v>111540</v>
          </cell>
          <cell r="AG161">
            <v>111460</v>
          </cell>
          <cell r="AH161">
            <v>111500</v>
          </cell>
        </row>
        <row r="162">
          <cell r="S162">
            <v>107490</v>
          </cell>
          <cell r="T162">
            <v>107600</v>
          </cell>
          <cell r="U162">
            <v>107490</v>
          </cell>
          <cell r="V162">
            <v>107600</v>
          </cell>
          <cell r="W162">
            <v>114930</v>
          </cell>
          <cell r="X162">
            <v>114970</v>
          </cell>
          <cell r="Y162">
            <v>114930</v>
          </cell>
          <cell r="Z162">
            <v>114950</v>
          </cell>
          <cell r="AA162">
            <v>109720</v>
          </cell>
          <cell r="AB162">
            <v>109730</v>
          </cell>
          <cell r="AC162">
            <v>109630</v>
          </cell>
          <cell r="AD162">
            <v>109640</v>
          </cell>
          <cell r="AE162">
            <v>111500</v>
          </cell>
          <cell r="AF162">
            <v>111500</v>
          </cell>
          <cell r="AG162">
            <v>111470</v>
          </cell>
          <cell r="AH162">
            <v>111480</v>
          </cell>
        </row>
        <row r="163">
          <cell r="S163">
            <v>107610</v>
          </cell>
          <cell r="T163">
            <v>107630</v>
          </cell>
          <cell r="U163">
            <v>107600</v>
          </cell>
          <cell r="V163">
            <v>107600</v>
          </cell>
          <cell r="W163">
            <v>114960</v>
          </cell>
          <cell r="X163">
            <v>114980</v>
          </cell>
          <cell r="Y163">
            <v>114940</v>
          </cell>
          <cell r="Z163">
            <v>114960</v>
          </cell>
          <cell r="AA163">
            <v>109640</v>
          </cell>
          <cell r="AB163">
            <v>109800</v>
          </cell>
          <cell r="AC163">
            <v>109600</v>
          </cell>
          <cell r="AD163">
            <v>109800</v>
          </cell>
          <cell r="AE163">
            <v>111480</v>
          </cell>
          <cell r="AF163">
            <v>111510</v>
          </cell>
          <cell r="AG163">
            <v>111470</v>
          </cell>
          <cell r="AH163">
            <v>111480</v>
          </cell>
        </row>
        <row r="164">
          <cell r="S164">
            <v>107580</v>
          </cell>
          <cell r="T164">
            <v>107580</v>
          </cell>
          <cell r="U164">
            <v>107560</v>
          </cell>
          <cell r="V164">
            <v>107560</v>
          </cell>
          <cell r="W164">
            <v>114960</v>
          </cell>
          <cell r="X164">
            <v>114980</v>
          </cell>
          <cell r="Y164">
            <v>114950</v>
          </cell>
          <cell r="Z164">
            <v>114960</v>
          </cell>
          <cell r="AA164">
            <v>109800</v>
          </cell>
          <cell r="AB164">
            <v>109820</v>
          </cell>
          <cell r="AC164">
            <v>109710</v>
          </cell>
          <cell r="AD164">
            <v>109730</v>
          </cell>
          <cell r="AE164">
            <v>111490</v>
          </cell>
          <cell r="AF164">
            <v>111490</v>
          </cell>
          <cell r="AG164">
            <v>111440</v>
          </cell>
          <cell r="AH164">
            <v>111480</v>
          </cell>
        </row>
        <row r="165">
          <cell r="S165">
            <v>107580</v>
          </cell>
          <cell r="T165">
            <v>107580</v>
          </cell>
          <cell r="U165">
            <v>107510</v>
          </cell>
          <cell r="V165">
            <v>107510</v>
          </cell>
          <cell r="W165">
            <v>114950</v>
          </cell>
          <cell r="X165">
            <v>114950</v>
          </cell>
          <cell r="Y165">
            <v>114870</v>
          </cell>
          <cell r="Z165">
            <v>114900</v>
          </cell>
          <cell r="AA165">
            <v>109730</v>
          </cell>
          <cell r="AB165">
            <v>109920</v>
          </cell>
          <cell r="AC165">
            <v>109700</v>
          </cell>
          <cell r="AD165">
            <v>109750</v>
          </cell>
          <cell r="AE165">
            <v>111480</v>
          </cell>
          <cell r="AF165">
            <v>111480</v>
          </cell>
          <cell r="AG165">
            <v>111420</v>
          </cell>
          <cell r="AH165">
            <v>111430</v>
          </cell>
        </row>
        <row r="166">
          <cell r="S166">
            <v>107490</v>
          </cell>
          <cell r="T166">
            <v>107530</v>
          </cell>
          <cell r="U166">
            <v>107490</v>
          </cell>
          <cell r="V166">
            <v>107490</v>
          </cell>
          <cell r="W166">
            <v>114900</v>
          </cell>
          <cell r="X166">
            <v>114900</v>
          </cell>
          <cell r="Y166">
            <v>114850</v>
          </cell>
          <cell r="Z166">
            <v>114880</v>
          </cell>
          <cell r="AA166">
            <v>109750</v>
          </cell>
          <cell r="AB166">
            <v>109770</v>
          </cell>
          <cell r="AC166">
            <v>109640</v>
          </cell>
          <cell r="AD166">
            <v>109650</v>
          </cell>
          <cell r="AE166">
            <v>111430</v>
          </cell>
          <cell r="AF166">
            <v>111430</v>
          </cell>
          <cell r="AG166">
            <v>111360</v>
          </cell>
          <cell r="AH166">
            <v>111420</v>
          </cell>
        </row>
        <row r="167">
          <cell r="S167">
            <v>107510</v>
          </cell>
          <cell r="T167">
            <v>107510</v>
          </cell>
          <cell r="U167">
            <v>107490</v>
          </cell>
          <cell r="V167">
            <v>107490</v>
          </cell>
          <cell r="W167">
            <v>114870</v>
          </cell>
          <cell r="X167">
            <v>114890</v>
          </cell>
          <cell r="Y167">
            <v>114850</v>
          </cell>
          <cell r="Z167">
            <v>114890</v>
          </cell>
          <cell r="AA167">
            <v>109660</v>
          </cell>
          <cell r="AB167">
            <v>109710</v>
          </cell>
          <cell r="AC167">
            <v>109630</v>
          </cell>
          <cell r="AD167">
            <v>109700</v>
          </cell>
          <cell r="AE167">
            <v>111400</v>
          </cell>
          <cell r="AF167">
            <v>111420</v>
          </cell>
          <cell r="AG167">
            <v>111370</v>
          </cell>
          <cell r="AH167">
            <v>111370</v>
          </cell>
        </row>
        <row r="168">
          <cell r="S168">
            <v>107490</v>
          </cell>
          <cell r="T168">
            <v>107490</v>
          </cell>
          <cell r="U168">
            <v>107490</v>
          </cell>
          <cell r="V168">
            <v>107490</v>
          </cell>
          <cell r="W168">
            <v>114890</v>
          </cell>
          <cell r="X168">
            <v>114960</v>
          </cell>
          <cell r="Y168">
            <v>114870</v>
          </cell>
          <cell r="Z168">
            <v>114940</v>
          </cell>
          <cell r="AA168">
            <v>109700</v>
          </cell>
          <cell r="AB168">
            <v>109740</v>
          </cell>
          <cell r="AC168">
            <v>109670</v>
          </cell>
          <cell r="AD168">
            <v>109700</v>
          </cell>
          <cell r="AE168">
            <v>111370</v>
          </cell>
          <cell r="AF168">
            <v>111400</v>
          </cell>
          <cell r="AG168">
            <v>111320</v>
          </cell>
          <cell r="AH168">
            <v>111370</v>
          </cell>
        </row>
        <row r="169">
          <cell r="S169">
            <v>107510</v>
          </cell>
          <cell r="T169">
            <v>107510</v>
          </cell>
          <cell r="U169">
            <v>107510</v>
          </cell>
          <cell r="V169">
            <v>107510</v>
          </cell>
          <cell r="W169">
            <v>114960</v>
          </cell>
          <cell r="X169">
            <v>115050</v>
          </cell>
          <cell r="Y169">
            <v>114950</v>
          </cell>
          <cell r="Z169">
            <v>115020</v>
          </cell>
          <cell r="AA169">
            <v>109710</v>
          </cell>
          <cell r="AB169">
            <v>109740</v>
          </cell>
          <cell r="AC169">
            <v>109680</v>
          </cell>
          <cell r="AD169">
            <v>109720</v>
          </cell>
          <cell r="AE169">
            <v>111350</v>
          </cell>
          <cell r="AF169">
            <v>111370</v>
          </cell>
          <cell r="AG169">
            <v>111290</v>
          </cell>
          <cell r="AH169">
            <v>111290</v>
          </cell>
        </row>
        <row r="170">
          <cell r="S170">
            <v>107550</v>
          </cell>
          <cell r="T170">
            <v>107550</v>
          </cell>
          <cell r="U170">
            <v>107550</v>
          </cell>
          <cell r="V170">
            <v>107550</v>
          </cell>
          <cell r="W170">
            <v>115020</v>
          </cell>
          <cell r="X170">
            <v>115030</v>
          </cell>
          <cell r="Y170">
            <v>114940</v>
          </cell>
          <cell r="Z170">
            <v>114950</v>
          </cell>
          <cell r="AA170">
            <v>109720</v>
          </cell>
          <cell r="AB170">
            <v>109720</v>
          </cell>
          <cell r="AC170">
            <v>109640</v>
          </cell>
          <cell r="AD170">
            <v>109640</v>
          </cell>
          <cell r="AE170">
            <v>111280</v>
          </cell>
          <cell r="AF170">
            <v>111320</v>
          </cell>
          <cell r="AG170">
            <v>111250</v>
          </cell>
          <cell r="AH170">
            <v>111300</v>
          </cell>
        </row>
        <row r="171">
          <cell r="S171">
            <v>107490</v>
          </cell>
          <cell r="T171">
            <v>107490</v>
          </cell>
          <cell r="U171">
            <v>107480</v>
          </cell>
          <cell r="V171">
            <v>107480</v>
          </cell>
          <cell r="W171">
            <v>114950</v>
          </cell>
          <cell r="X171">
            <v>115020</v>
          </cell>
          <cell r="Y171">
            <v>114940</v>
          </cell>
          <cell r="Z171">
            <v>114990</v>
          </cell>
          <cell r="AA171">
            <v>109650</v>
          </cell>
          <cell r="AB171">
            <v>109670</v>
          </cell>
          <cell r="AC171">
            <v>109620</v>
          </cell>
          <cell r="AD171">
            <v>109650</v>
          </cell>
          <cell r="AE171">
            <v>111300</v>
          </cell>
          <cell r="AF171">
            <v>111350</v>
          </cell>
          <cell r="AG171">
            <v>111280</v>
          </cell>
          <cell r="AH171">
            <v>111290</v>
          </cell>
        </row>
        <row r="172">
          <cell r="S172">
            <v>107480</v>
          </cell>
          <cell r="T172">
            <v>107480</v>
          </cell>
          <cell r="U172">
            <v>107360</v>
          </cell>
          <cell r="V172">
            <v>107360</v>
          </cell>
          <cell r="W172">
            <v>114990</v>
          </cell>
          <cell r="X172">
            <v>115010</v>
          </cell>
          <cell r="Y172">
            <v>114960</v>
          </cell>
          <cell r="Z172">
            <v>115010</v>
          </cell>
          <cell r="AA172">
            <v>109660</v>
          </cell>
          <cell r="AB172">
            <v>109740</v>
          </cell>
          <cell r="AC172">
            <v>109650</v>
          </cell>
          <cell r="AD172">
            <v>109700</v>
          </cell>
          <cell r="AE172">
            <v>111290</v>
          </cell>
          <cell r="AF172">
            <v>111340</v>
          </cell>
          <cell r="AG172">
            <v>111280</v>
          </cell>
          <cell r="AH172">
            <v>111340</v>
          </cell>
        </row>
        <row r="173">
          <cell r="S173">
            <v>107350</v>
          </cell>
          <cell r="T173">
            <v>107360</v>
          </cell>
          <cell r="U173">
            <v>107300</v>
          </cell>
          <cell r="V173">
            <v>107300</v>
          </cell>
          <cell r="W173">
            <v>115000</v>
          </cell>
          <cell r="X173">
            <v>115050</v>
          </cell>
          <cell r="Y173">
            <v>115000</v>
          </cell>
          <cell r="Z173">
            <v>115040</v>
          </cell>
          <cell r="AA173">
            <v>109710</v>
          </cell>
          <cell r="AB173">
            <v>109710</v>
          </cell>
          <cell r="AC173">
            <v>109660</v>
          </cell>
          <cell r="AD173">
            <v>109680</v>
          </cell>
          <cell r="AE173">
            <v>111340</v>
          </cell>
          <cell r="AF173">
            <v>111380</v>
          </cell>
          <cell r="AG173">
            <v>111300</v>
          </cell>
          <cell r="AH173">
            <v>111320</v>
          </cell>
        </row>
        <row r="174">
          <cell r="S174">
            <v>107320</v>
          </cell>
          <cell r="T174">
            <v>107320</v>
          </cell>
          <cell r="U174">
            <v>107310</v>
          </cell>
          <cell r="V174">
            <v>107310</v>
          </cell>
          <cell r="W174">
            <v>115030</v>
          </cell>
          <cell r="X174">
            <v>115050</v>
          </cell>
          <cell r="Y174">
            <v>115000</v>
          </cell>
          <cell r="Z174">
            <v>115000</v>
          </cell>
          <cell r="AA174">
            <v>109670</v>
          </cell>
          <cell r="AB174">
            <v>109760</v>
          </cell>
          <cell r="AC174">
            <v>109650</v>
          </cell>
          <cell r="AD174">
            <v>109750</v>
          </cell>
          <cell r="AE174">
            <v>111310</v>
          </cell>
          <cell r="AF174">
            <v>111320</v>
          </cell>
          <cell r="AG174">
            <v>111270</v>
          </cell>
          <cell r="AH174">
            <v>111290</v>
          </cell>
        </row>
        <row r="175">
          <cell r="S175">
            <v>107310</v>
          </cell>
          <cell r="T175">
            <v>107310</v>
          </cell>
          <cell r="U175">
            <v>107180</v>
          </cell>
          <cell r="V175">
            <v>107180</v>
          </cell>
          <cell r="W175">
            <v>115000</v>
          </cell>
          <cell r="X175">
            <v>115000</v>
          </cell>
          <cell r="Y175">
            <v>114950</v>
          </cell>
          <cell r="Z175">
            <v>114970</v>
          </cell>
          <cell r="AA175">
            <v>109750</v>
          </cell>
          <cell r="AB175">
            <v>109760</v>
          </cell>
          <cell r="AC175">
            <v>109640</v>
          </cell>
          <cell r="AD175">
            <v>109670</v>
          </cell>
          <cell r="AE175">
            <v>111300</v>
          </cell>
          <cell r="AF175">
            <v>111310</v>
          </cell>
          <cell r="AG175">
            <v>111180</v>
          </cell>
          <cell r="AH175">
            <v>111260</v>
          </cell>
        </row>
        <row r="176">
          <cell r="S176">
            <v>107150</v>
          </cell>
          <cell r="T176">
            <v>107200</v>
          </cell>
          <cell r="U176">
            <v>107150</v>
          </cell>
          <cell r="V176">
            <v>107200</v>
          </cell>
          <cell r="W176">
            <v>114960</v>
          </cell>
          <cell r="X176">
            <v>114970</v>
          </cell>
          <cell r="Y176">
            <v>114890</v>
          </cell>
          <cell r="Z176">
            <v>114890</v>
          </cell>
          <cell r="AA176">
            <v>109660</v>
          </cell>
          <cell r="AB176">
            <v>109670</v>
          </cell>
          <cell r="AC176">
            <v>109610</v>
          </cell>
          <cell r="AD176">
            <v>109650</v>
          </cell>
          <cell r="AE176">
            <v>111260</v>
          </cell>
          <cell r="AF176">
            <v>111300</v>
          </cell>
          <cell r="AG176">
            <v>111200</v>
          </cell>
          <cell r="AH176">
            <v>111260</v>
          </cell>
        </row>
        <row r="177">
          <cell r="S177">
            <v>107200</v>
          </cell>
          <cell r="T177">
            <v>107220</v>
          </cell>
          <cell r="U177">
            <v>107200</v>
          </cell>
          <cell r="V177">
            <v>107220</v>
          </cell>
          <cell r="W177">
            <v>114890</v>
          </cell>
          <cell r="X177">
            <v>114970</v>
          </cell>
          <cell r="Y177">
            <v>114890</v>
          </cell>
          <cell r="Z177">
            <v>114960</v>
          </cell>
          <cell r="AA177">
            <v>109650</v>
          </cell>
          <cell r="AB177">
            <v>109670</v>
          </cell>
          <cell r="AC177">
            <v>109620</v>
          </cell>
          <cell r="AD177">
            <v>109660</v>
          </cell>
          <cell r="AE177">
            <v>111260</v>
          </cell>
          <cell r="AF177">
            <v>111280</v>
          </cell>
          <cell r="AG177">
            <v>111190</v>
          </cell>
          <cell r="AH177">
            <v>111190</v>
          </cell>
        </row>
        <row r="178">
          <cell r="S178">
            <v>107230</v>
          </cell>
          <cell r="T178">
            <v>107240</v>
          </cell>
          <cell r="U178">
            <v>107210</v>
          </cell>
          <cell r="V178">
            <v>107220</v>
          </cell>
          <cell r="W178">
            <v>114940</v>
          </cell>
          <cell r="X178">
            <v>115040</v>
          </cell>
          <cell r="Y178">
            <v>114940</v>
          </cell>
          <cell r="Z178">
            <v>114980</v>
          </cell>
          <cell r="AA178">
            <v>109660</v>
          </cell>
          <cell r="AB178">
            <v>109660</v>
          </cell>
          <cell r="AC178">
            <v>109520</v>
          </cell>
          <cell r="AD178">
            <v>109580</v>
          </cell>
          <cell r="AE178">
            <v>111190</v>
          </cell>
          <cell r="AF178">
            <v>111250</v>
          </cell>
          <cell r="AG178">
            <v>111160</v>
          </cell>
          <cell r="AH178">
            <v>111240</v>
          </cell>
        </row>
        <row r="179">
          <cell r="S179">
            <v>107200</v>
          </cell>
          <cell r="T179">
            <v>107200</v>
          </cell>
          <cell r="U179">
            <v>107200</v>
          </cell>
          <cell r="V179">
            <v>107200</v>
          </cell>
          <cell r="W179">
            <v>114970</v>
          </cell>
          <cell r="X179">
            <v>115000</v>
          </cell>
          <cell r="Y179">
            <v>114960</v>
          </cell>
          <cell r="Z179">
            <v>114990</v>
          </cell>
          <cell r="AA179">
            <v>109570</v>
          </cell>
          <cell r="AB179">
            <v>109580</v>
          </cell>
          <cell r="AC179">
            <v>109550</v>
          </cell>
          <cell r="AD179">
            <v>109580</v>
          </cell>
          <cell r="AE179">
            <v>111240</v>
          </cell>
          <cell r="AF179">
            <v>111270</v>
          </cell>
          <cell r="AG179">
            <v>111220</v>
          </cell>
          <cell r="AH179">
            <v>111260</v>
          </cell>
        </row>
        <row r="180">
          <cell r="S180">
            <v>107260</v>
          </cell>
          <cell r="T180">
            <v>107280</v>
          </cell>
          <cell r="U180">
            <v>107200</v>
          </cell>
          <cell r="V180">
            <v>107200</v>
          </cell>
          <cell r="W180">
            <v>115000</v>
          </cell>
          <cell r="X180">
            <v>115020</v>
          </cell>
          <cell r="Y180">
            <v>114980</v>
          </cell>
          <cell r="Z180">
            <v>114990</v>
          </cell>
          <cell r="AA180">
            <v>109570</v>
          </cell>
          <cell r="AB180">
            <v>109600</v>
          </cell>
          <cell r="AC180">
            <v>109540</v>
          </cell>
          <cell r="AD180">
            <v>109590</v>
          </cell>
          <cell r="AE180">
            <v>111260</v>
          </cell>
          <cell r="AF180">
            <v>111280</v>
          </cell>
          <cell r="AG180">
            <v>111140</v>
          </cell>
          <cell r="AH180">
            <v>111210</v>
          </cell>
        </row>
        <row r="181">
          <cell r="S181">
            <v>107200</v>
          </cell>
          <cell r="T181">
            <v>107200</v>
          </cell>
          <cell r="U181">
            <v>107200</v>
          </cell>
          <cell r="V181">
            <v>107200</v>
          </cell>
          <cell r="W181">
            <v>115000</v>
          </cell>
          <cell r="X181">
            <v>115010</v>
          </cell>
          <cell r="Y181">
            <v>114970</v>
          </cell>
          <cell r="Z181">
            <v>115000</v>
          </cell>
          <cell r="AA181">
            <v>109580</v>
          </cell>
          <cell r="AB181">
            <v>109660</v>
          </cell>
          <cell r="AC181">
            <v>109580</v>
          </cell>
          <cell r="AD181">
            <v>109630</v>
          </cell>
          <cell r="AE181">
            <v>111210</v>
          </cell>
          <cell r="AF181">
            <v>111230</v>
          </cell>
          <cell r="AG181">
            <v>111170</v>
          </cell>
          <cell r="AH181">
            <v>111210</v>
          </cell>
        </row>
        <row r="182">
          <cell r="S182">
            <v>107190</v>
          </cell>
          <cell r="T182">
            <v>107190</v>
          </cell>
          <cell r="U182">
            <v>107190</v>
          </cell>
          <cell r="V182">
            <v>107190</v>
          </cell>
          <cell r="W182">
            <v>115000</v>
          </cell>
          <cell r="X182">
            <v>115040</v>
          </cell>
          <cell r="Y182">
            <v>114990</v>
          </cell>
          <cell r="Z182">
            <v>115000</v>
          </cell>
          <cell r="AA182">
            <v>109630</v>
          </cell>
          <cell r="AB182">
            <v>109720</v>
          </cell>
          <cell r="AC182">
            <v>109620</v>
          </cell>
          <cell r="AD182">
            <v>109710</v>
          </cell>
          <cell r="AE182">
            <v>111210</v>
          </cell>
          <cell r="AF182">
            <v>111300</v>
          </cell>
          <cell r="AG182">
            <v>111200</v>
          </cell>
          <cell r="AH182">
            <v>111300</v>
          </cell>
        </row>
        <row r="183">
          <cell r="S183">
            <v>107250</v>
          </cell>
          <cell r="T183">
            <v>107260</v>
          </cell>
          <cell r="U183">
            <v>107250</v>
          </cell>
          <cell r="V183">
            <v>107260</v>
          </cell>
          <cell r="W183">
            <v>115000</v>
          </cell>
          <cell r="X183">
            <v>115010</v>
          </cell>
          <cell r="Y183">
            <v>114960</v>
          </cell>
          <cell r="Z183">
            <v>114970</v>
          </cell>
          <cell r="AA183">
            <v>109690</v>
          </cell>
          <cell r="AB183">
            <v>109710</v>
          </cell>
          <cell r="AC183">
            <v>109660</v>
          </cell>
          <cell r="AD183">
            <v>109670</v>
          </cell>
          <cell r="AE183">
            <v>111290</v>
          </cell>
          <cell r="AF183">
            <v>111450</v>
          </cell>
          <cell r="AG183">
            <v>111290</v>
          </cell>
          <cell r="AH183">
            <v>111440</v>
          </cell>
        </row>
        <row r="184">
          <cell r="S184">
            <v>107260</v>
          </cell>
          <cell r="T184">
            <v>107260</v>
          </cell>
          <cell r="U184">
            <v>107220</v>
          </cell>
          <cell r="V184">
            <v>107220</v>
          </cell>
          <cell r="W184">
            <v>114960</v>
          </cell>
          <cell r="X184">
            <v>114960</v>
          </cell>
          <cell r="Y184">
            <v>114930</v>
          </cell>
          <cell r="Z184">
            <v>114940</v>
          </cell>
          <cell r="AA184">
            <v>109660</v>
          </cell>
          <cell r="AB184">
            <v>109680</v>
          </cell>
          <cell r="AC184">
            <v>109630</v>
          </cell>
          <cell r="AD184">
            <v>109630</v>
          </cell>
          <cell r="AE184">
            <v>111440</v>
          </cell>
          <cell r="AF184">
            <v>111560</v>
          </cell>
          <cell r="AG184">
            <v>111430</v>
          </cell>
          <cell r="AH184">
            <v>111510</v>
          </cell>
        </row>
        <row r="185">
          <cell r="S185">
            <v>107200</v>
          </cell>
          <cell r="T185">
            <v>107200</v>
          </cell>
          <cell r="U185">
            <v>107120</v>
          </cell>
          <cell r="V185">
            <v>107160</v>
          </cell>
          <cell r="W185">
            <v>114950</v>
          </cell>
          <cell r="X185">
            <v>115000</v>
          </cell>
          <cell r="Y185">
            <v>114950</v>
          </cell>
          <cell r="Z185">
            <v>114990</v>
          </cell>
          <cell r="AA185">
            <v>109640</v>
          </cell>
          <cell r="AB185">
            <v>109670</v>
          </cell>
          <cell r="AC185">
            <v>109590</v>
          </cell>
          <cell r="AD185">
            <v>109600</v>
          </cell>
          <cell r="AE185">
            <v>111510</v>
          </cell>
          <cell r="AF185">
            <v>111520</v>
          </cell>
          <cell r="AG185">
            <v>111420</v>
          </cell>
          <cell r="AH185">
            <v>111500</v>
          </cell>
        </row>
        <row r="186">
          <cell r="S186">
            <v>107170</v>
          </cell>
          <cell r="T186">
            <v>107180</v>
          </cell>
          <cell r="U186">
            <v>107170</v>
          </cell>
          <cell r="V186">
            <v>107180</v>
          </cell>
          <cell r="W186">
            <v>115000</v>
          </cell>
          <cell r="X186">
            <v>115010</v>
          </cell>
          <cell r="Y186">
            <v>114960</v>
          </cell>
          <cell r="Z186">
            <v>114990</v>
          </cell>
          <cell r="AA186">
            <v>109600</v>
          </cell>
          <cell r="AB186">
            <v>109740</v>
          </cell>
          <cell r="AC186">
            <v>109590</v>
          </cell>
          <cell r="AD186">
            <v>109700</v>
          </cell>
          <cell r="AE186">
            <v>111500</v>
          </cell>
          <cell r="AF186">
            <v>111540</v>
          </cell>
          <cell r="AG186">
            <v>111460</v>
          </cell>
          <cell r="AH186">
            <v>111490</v>
          </cell>
        </row>
        <row r="187">
          <cell r="S187">
            <v>107110</v>
          </cell>
          <cell r="T187">
            <v>107180</v>
          </cell>
          <cell r="U187">
            <v>107100</v>
          </cell>
          <cell r="V187">
            <v>107180</v>
          </cell>
          <cell r="W187">
            <v>114980</v>
          </cell>
          <cell r="X187">
            <v>115050</v>
          </cell>
          <cell r="Y187">
            <v>114960</v>
          </cell>
          <cell r="Z187">
            <v>114970</v>
          </cell>
          <cell r="AA187">
            <v>109710</v>
          </cell>
          <cell r="AB187">
            <v>109810</v>
          </cell>
          <cell r="AC187">
            <v>109640</v>
          </cell>
          <cell r="AD187">
            <v>109650</v>
          </cell>
          <cell r="AE187">
            <v>111490</v>
          </cell>
          <cell r="AF187">
            <v>111510</v>
          </cell>
          <cell r="AG187">
            <v>111450</v>
          </cell>
          <cell r="AH187">
            <v>111490</v>
          </cell>
        </row>
        <row r="188">
          <cell r="S188">
            <v>107230</v>
          </cell>
          <cell r="T188">
            <v>107230</v>
          </cell>
          <cell r="U188">
            <v>107230</v>
          </cell>
          <cell r="V188">
            <v>107230</v>
          </cell>
          <cell r="W188">
            <v>114970</v>
          </cell>
          <cell r="X188">
            <v>114980</v>
          </cell>
          <cell r="Y188">
            <v>114900</v>
          </cell>
          <cell r="Z188">
            <v>114920</v>
          </cell>
          <cell r="AA188">
            <v>109650</v>
          </cell>
          <cell r="AB188">
            <v>109720</v>
          </cell>
          <cell r="AC188">
            <v>109630</v>
          </cell>
          <cell r="AD188">
            <v>109650</v>
          </cell>
          <cell r="AE188">
            <v>111500</v>
          </cell>
          <cell r="AF188">
            <v>111520</v>
          </cell>
          <cell r="AG188">
            <v>111460</v>
          </cell>
          <cell r="AH188">
            <v>111510</v>
          </cell>
        </row>
        <row r="189">
          <cell r="S189">
            <v>107230</v>
          </cell>
          <cell r="T189">
            <v>107260</v>
          </cell>
          <cell r="U189">
            <v>107230</v>
          </cell>
          <cell r="V189">
            <v>107260</v>
          </cell>
          <cell r="W189">
            <v>114930</v>
          </cell>
          <cell r="X189">
            <v>114940</v>
          </cell>
          <cell r="Y189">
            <v>114900</v>
          </cell>
          <cell r="Z189">
            <v>114920</v>
          </cell>
          <cell r="AA189">
            <v>109650</v>
          </cell>
          <cell r="AB189">
            <v>109660</v>
          </cell>
          <cell r="AC189">
            <v>109600</v>
          </cell>
          <cell r="AD189">
            <v>109620</v>
          </cell>
          <cell r="AE189">
            <v>111490</v>
          </cell>
          <cell r="AF189">
            <v>111510</v>
          </cell>
          <cell r="AG189">
            <v>111420</v>
          </cell>
          <cell r="AH189">
            <v>111480</v>
          </cell>
        </row>
        <row r="190">
          <cell r="S190">
            <v>107300</v>
          </cell>
          <cell r="T190">
            <v>107310</v>
          </cell>
          <cell r="U190">
            <v>107300</v>
          </cell>
          <cell r="V190">
            <v>107310</v>
          </cell>
          <cell r="W190">
            <v>114900</v>
          </cell>
          <cell r="X190">
            <v>114930</v>
          </cell>
          <cell r="Y190">
            <v>114900</v>
          </cell>
          <cell r="Z190">
            <v>114930</v>
          </cell>
          <cell r="AA190">
            <v>109610</v>
          </cell>
          <cell r="AB190">
            <v>109750</v>
          </cell>
          <cell r="AC190">
            <v>109610</v>
          </cell>
          <cell r="AD190">
            <v>109750</v>
          </cell>
          <cell r="AE190">
            <v>111480</v>
          </cell>
          <cell r="AF190">
            <v>111480</v>
          </cell>
          <cell r="AG190">
            <v>111430</v>
          </cell>
          <cell r="AH190">
            <v>111470</v>
          </cell>
        </row>
        <row r="191">
          <cell r="S191">
            <v>107320</v>
          </cell>
          <cell r="T191">
            <v>107390</v>
          </cell>
          <cell r="U191">
            <v>107270</v>
          </cell>
          <cell r="V191">
            <v>107390</v>
          </cell>
          <cell r="W191">
            <v>114920</v>
          </cell>
          <cell r="X191">
            <v>114950</v>
          </cell>
          <cell r="Y191">
            <v>114900</v>
          </cell>
          <cell r="Z191">
            <v>114910</v>
          </cell>
          <cell r="AA191">
            <v>109750</v>
          </cell>
          <cell r="AB191">
            <v>109780</v>
          </cell>
          <cell r="AC191">
            <v>109640</v>
          </cell>
          <cell r="AD191">
            <v>109660</v>
          </cell>
          <cell r="AE191">
            <v>111450</v>
          </cell>
          <cell r="AF191">
            <v>111490</v>
          </cell>
          <cell r="AG191">
            <v>111410</v>
          </cell>
          <cell r="AH191">
            <v>111410</v>
          </cell>
        </row>
        <row r="192">
          <cell r="S192">
            <v>107390</v>
          </cell>
          <cell r="T192">
            <v>107410</v>
          </cell>
          <cell r="U192">
            <v>107320</v>
          </cell>
          <cell r="V192">
            <v>107320</v>
          </cell>
          <cell r="W192">
            <v>114910</v>
          </cell>
          <cell r="X192">
            <v>114940</v>
          </cell>
          <cell r="Y192">
            <v>114810</v>
          </cell>
          <cell r="Z192">
            <v>114820</v>
          </cell>
          <cell r="AA192">
            <v>109660</v>
          </cell>
          <cell r="AB192">
            <v>109720</v>
          </cell>
          <cell r="AC192">
            <v>109630</v>
          </cell>
          <cell r="AD192">
            <v>109660</v>
          </cell>
          <cell r="AE192">
            <v>111430</v>
          </cell>
          <cell r="AF192">
            <v>111470</v>
          </cell>
          <cell r="AG192">
            <v>111400</v>
          </cell>
          <cell r="AH192">
            <v>111440</v>
          </cell>
        </row>
        <row r="193">
          <cell r="S193">
            <v>107330</v>
          </cell>
          <cell r="T193">
            <v>107350</v>
          </cell>
          <cell r="U193">
            <v>107300</v>
          </cell>
          <cell r="V193">
            <v>107320</v>
          </cell>
          <cell r="W193">
            <v>114820</v>
          </cell>
          <cell r="X193">
            <v>114870</v>
          </cell>
          <cell r="Y193">
            <v>114800</v>
          </cell>
          <cell r="Z193">
            <v>114860</v>
          </cell>
          <cell r="AA193">
            <v>109650</v>
          </cell>
          <cell r="AB193">
            <v>109650</v>
          </cell>
          <cell r="AC193">
            <v>109560</v>
          </cell>
          <cell r="AD193">
            <v>109610</v>
          </cell>
          <cell r="AE193">
            <v>111430</v>
          </cell>
          <cell r="AF193">
            <v>111460</v>
          </cell>
          <cell r="AG193">
            <v>111380</v>
          </cell>
          <cell r="AH193">
            <v>111400</v>
          </cell>
        </row>
        <row r="194">
          <cell r="S194">
            <v>107300</v>
          </cell>
          <cell r="T194">
            <v>107310</v>
          </cell>
          <cell r="U194">
            <v>107300</v>
          </cell>
          <cell r="V194">
            <v>107310</v>
          </cell>
          <cell r="W194">
            <v>114870</v>
          </cell>
          <cell r="X194">
            <v>114870</v>
          </cell>
          <cell r="Y194">
            <v>114800</v>
          </cell>
          <cell r="Z194">
            <v>114830</v>
          </cell>
          <cell r="AA194">
            <v>109610</v>
          </cell>
          <cell r="AB194">
            <v>109650</v>
          </cell>
          <cell r="AC194">
            <v>109580</v>
          </cell>
          <cell r="AD194">
            <v>109650</v>
          </cell>
          <cell r="AE194">
            <v>111390</v>
          </cell>
          <cell r="AF194">
            <v>111400</v>
          </cell>
          <cell r="AG194">
            <v>111320</v>
          </cell>
          <cell r="AH194">
            <v>111380</v>
          </cell>
        </row>
        <row r="195">
          <cell r="S195">
            <v>107310</v>
          </cell>
          <cell r="T195">
            <v>107320</v>
          </cell>
          <cell r="U195">
            <v>107280</v>
          </cell>
          <cell r="V195">
            <v>107320</v>
          </cell>
          <cell r="W195">
            <v>114820</v>
          </cell>
          <cell r="X195">
            <v>114820</v>
          </cell>
          <cell r="Y195">
            <v>114770</v>
          </cell>
          <cell r="Z195">
            <v>114800</v>
          </cell>
          <cell r="AA195">
            <v>109650</v>
          </cell>
          <cell r="AB195">
            <v>109650</v>
          </cell>
          <cell r="AC195">
            <v>109560</v>
          </cell>
          <cell r="AD195">
            <v>109620</v>
          </cell>
          <cell r="AE195">
            <v>111370</v>
          </cell>
          <cell r="AF195">
            <v>111370</v>
          </cell>
          <cell r="AG195">
            <v>111280</v>
          </cell>
          <cell r="AH195">
            <v>111290</v>
          </cell>
        </row>
        <row r="196">
          <cell r="S196">
            <v>107370</v>
          </cell>
          <cell r="T196">
            <v>107400</v>
          </cell>
          <cell r="U196">
            <v>107370</v>
          </cell>
          <cell r="V196">
            <v>107400</v>
          </cell>
          <cell r="W196">
            <v>114800</v>
          </cell>
          <cell r="X196">
            <v>114860</v>
          </cell>
          <cell r="Y196">
            <v>114780</v>
          </cell>
          <cell r="Z196">
            <v>114830</v>
          </cell>
          <cell r="AA196">
            <v>109620</v>
          </cell>
          <cell r="AB196">
            <v>109640</v>
          </cell>
          <cell r="AC196">
            <v>109600</v>
          </cell>
          <cell r="AD196">
            <v>109620</v>
          </cell>
          <cell r="AE196">
            <v>111280</v>
          </cell>
          <cell r="AF196">
            <v>111330</v>
          </cell>
          <cell r="AG196">
            <v>111280</v>
          </cell>
          <cell r="AH196">
            <v>111290</v>
          </cell>
        </row>
        <row r="197">
          <cell r="S197">
            <v>107450</v>
          </cell>
          <cell r="T197">
            <v>107890</v>
          </cell>
          <cell r="U197">
            <v>107450</v>
          </cell>
          <cell r="V197">
            <v>107610</v>
          </cell>
          <cell r="W197">
            <v>114820</v>
          </cell>
          <cell r="X197">
            <v>114830</v>
          </cell>
          <cell r="Y197">
            <v>114710</v>
          </cell>
          <cell r="Z197">
            <v>114770</v>
          </cell>
          <cell r="AA197">
            <v>109620</v>
          </cell>
          <cell r="AB197">
            <v>109660</v>
          </cell>
          <cell r="AC197">
            <v>109540</v>
          </cell>
          <cell r="AD197">
            <v>109570</v>
          </cell>
          <cell r="AE197">
            <v>111290</v>
          </cell>
          <cell r="AF197">
            <v>111360</v>
          </cell>
          <cell r="AG197">
            <v>111260</v>
          </cell>
          <cell r="AH197">
            <v>111360</v>
          </cell>
        </row>
        <row r="198">
          <cell r="S198">
            <v>107640</v>
          </cell>
          <cell r="T198">
            <v>107750</v>
          </cell>
          <cell r="U198">
            <v>107610</v>
          </cell>
          <cell r="V198">
            <v>107690</v>
          </cell>
          <cell r="W198">
            <v>114750</v>
          </cell>
          <cell r="X198">
            <v>114810</v>
          </cell>
          <cell r="Y198">
            <v>114740</v>
          </cell>
          <cell r="Z198">
            <v>114760</v>
          </cell>
          <cell r="AA198">
            <v>109570</v>
          </cell>
          <cell r="AB198">
            <v>109580</v>
          </cell>
          <cell r="AC198">
            <v>109530</v>
          </cell>
          <cell r="AD198">
            <v>109540</v>
          </cell>
          <cell r="AE198">
            <v>111360</v>
          </cell>
          <cell r="AF198">
            <v>111400</v>
          </cell>
          <cell r="AG198">
            <v>111340</v>
          </cell>
          <cell r="AH198">
            <v>111400</v>
          </cell>
        </row>
        <row r="199">
          <cell r="S199">
            <v>107740</v>
          </cell>
          <cell r="T199">
            <v>108100</v>
          </cell>
          <cell r="U199">
            <v>107740</v>
          </cell>
          <cell r="V199">
            <v>108090</v>
          </cell>
          <cell r="W199">
            <v>114760</v>
          </cell>
          <cell r="X199">
            <v>114800</v>
          </cell>
          <cell r="Y199">
            <v>114740</v>
          </cell>
          <cell r="Z199">
            <v>114770</v>
          </cell>
          <cell r="AA199">
            <v>109540</v>
          </cell>
          <cell r="AB199">
            <v>109610</v>
          </cell>
          <cell r="AC199">
            <v>109540</v>
          </cell>
          <cell r="AD199">
            <v>109560</v>
          </cell>
          <cell r="AE199">
            <v>111390</v>
          </cell>
          <cell r="AF199">
            <v>111400</v>
          </cell>
          <cell r="AG199">
            <v>111330</v>
          </cell>
          <cell r="AH199">
            <v>111330</v>
          </cell>
        </row>
        <row r="200">
          <cell r="S200">
            <v>108060</v>
          </cell>
          <cell r="T200">
            <v>108370</v>
          </cell>
          <cell r="U200">
            <v>108060</v>
          </cell>
          <cell r="V200">
            <v>108120</v>
          </cell>
          <cell r="W200">
            <v>114760</v>
          </cell>
          <cell r="X200">
            <v>114790</v>
          </cell>
          <cell r="Y200">
            <v>114750</v>
          </cell>
          <cell r="Z200">
            <v>114790</v>
          </cell>
          <cell r="AA200">
            <v>109570</v>
          </cell>
          <cell r="AB200">
            <v>109590</v>
          </cell>
          <cell r="AC200">
            <v>109530</v>
          </cell>
          <cell r="AD200">
            <v>109560</v>
          </cell>
          <cell r="AE200">
            <v>111330</v>
          </cell>
          <cell r="AF200">
            <v>111380</v>
          </cell>
          <cell r="AG200">
            <v>111330</v>
          </cell>
          <cell r="AH200">
            <v>111360</v>
          </cell>
        </row>
        <row r="201">
          <cell r="S201">
            <v>108100</v>
          </cell>
          <cell r="T201">
            <v>108120</v>
          </cell>
          <cell r="U201">
            <v>107980</v>
          </cell>
          <cell r="V201">
            <v>108120</v>
          </cell>
          <cell r="W201">
            <v>114770</v>
          </cell>
          <cell r="X201">
            <v>114810</v>
          </cell>
          <cell r="Y201">
            <v>114770</v>
          </cell>
          <cell r="Z201">
            <v>114800</v>
          </cell>
          <cell r="AA201">
            <v>109550</v>
          </cell>
          <cell r="AB201">
            <v>109570</v>
          </cell>
          <cell r="AC201">
            <v>109460</v>
          </cell>
          <cell r="AD201">
            <v>109510</v>
          </cell>
          <cell r="AE201">
            <v>111360</v>
          </cell>
          <cell r="AF201">
            <v>111360</v>
          </cell>
          <cell r="AG201">
            <v>111280</v>
          </cell>
          <cell r="AH201">
            <v>111280</v>
          </cell>
        </row>
        <row r="202">
          <cell r="S202">
            <v>108120</v>
          </cell>
          <cell r="T202">
            <v>108210</v>
          </cell>
          <cell r="U202">
            <v>108120</v>
          </cell>
          <cell r="V202">
            <v>108210</v>
          </cell>
          <cell r="W202">
            <v>114800</v>
          </cell>
          <cell r="X202">
            <v>114840</v>
          </cell>
          <cell r="Y202">
            <v>114790</v>
          </cell>
          <cell r="Z202">
            <v>114830</v>
          </cell>
          <cell r="AA202">
            <v>109490</v>
          </cell>
          <cell r="AB202">
            <v>109510</v>
          </cell>
          <cell r="AC202">
            <v>109410</v>
          </cell>
          <cell r="AD202">
            <v>109440</v>
          </cell>
          <cell r="AE202">
            <v>111290</v>
          </cell>
          <cell r="AF202">
            <v>111370</v>
          </cell>
          <cell r="AG202">
            <v>111280</v>
          </cell>
          <cell r="AH202">
            <v>111360</v>
          </cell>
        </row>
        <row r="203">
          <cell r="S203">
            <v>108240</v>
          </cell>
          <cell r="T203">
            <v>108330</v>
          </cell>
          <cell r="U203">
            <v>108080</v>
          </cell>
          <cell r="V203">
            <v>108080</v>
          </cell>
          <cell r="W203">
            <v>114830</v>
          </cell>
          <cell r="X203">
            <v>114850</v>
          </cell>
          <cell r="Y203">
            <v>114820</v>
          </cell>
          <cell r="Z203">
            <v>114840</v>
          </cell>
          <cell r="AA203">
            <v>109440</v>
          </cell>
          <cell r="AB203">
            <v>109500</v>
          </cell>
          <cell r="AC203">
            <v>109440</v>
          </cell>
          <cell r="AD203">
            <v>109490</v>
          </cell>
          <cell r="AE203">
            <v>111360</v>
          </cell>
          <cell r="AF203">
            <v>111390</v>
          </cell>
          <cell r="AG203">
            <v>111330</v>
          </cell>
          <cell r="AH203">
            <v>111350</v>
          </cell>
        </row>
        <row r="204">
          <cell r="S204">
            <v>108080</v>
          </cell>
          <cell r="T204">
            <v>108160</v>
          </cell>
          <cell r="U204">
            <v>108070</v>
          </cell>
          <cell r="V204">
            <v>108160</v>
          </cell>
          <cell r="W204">
            <v>114840</v>
          </cell>
          <cell r="X204">
            <v>114850</v>
          </cell>
          <cell r="Y204">
            <v>114800</v>
          </cell>
          <cell r="Z204">
            <v>114810</v>
          </cell>
          <cell r="AA204">
            <v>109480</v>
          </cell>
          <cell r="AB204">
            <v>109500</v>
          </cell>
          <cell r="AC204">
            <v>109440</v>
          </cell>
          <cell r="AD204">
            <v>109470</v>
          </cell>
          <cell r="AE204">
            <v>111350</v>
          </cell>
          <cell r="AF204">
            <v>111360</v>
          </cell>
          <cell r="AG204">
            <v>111300</v>
          </cell>
          <cell r="AH204">
            <v>111350</v>
          </cell>
        </row>
        <row r="205">
          <cell r="S205">
            <v>108140</v>
          </cell>
          <cell r="T205">
            <v>108280</v>
          </cell>
          <cell r="U205">
            <v>108140</v>
          </cell>
          <cell r="V205">
            <v>108280</v>
          </cell>
          <cell r="W205">
            <v>114820</v>
          </cell>
          <cell r="X205">
            <v>114880</v>
          </cell>
          <cell r="Y205">
            <v>114810</v>
          </cell>
          <cell r="Z205">
            <v>114850</v>
          </cell>
          <cell r="AA205">
            <v>109470</v>
          </cell>
          <cell r="AB205">
            <v>109500</v>
          </cell>
          <cell r="AC205">
            <v>109440</v>
          </cell>
          <cell r="AD205">
            <v>109470</v>
          </cell>
          <cell r="AE205">
            <v>111340</v>
          </cell>
          <cell r="AF205">
            <v>111370</v>
          </cell>
          <cell r="AG205">
            <v>111320</v>
          </cell>
          <cell r="AH205">
            <v>111330</v>
          </cell>
        </row>
        <row r="206">
          <cell r="S206">
            <v>108300</v>
          </cell>
          <cell r="T206">
            <v>108400</v>
          </cell>
          <cell r="U206">
            <v>108270</v>
          </cell>
          <cell r="V206">
            <v>108330</v>
          </cell>
          <cell r="W206">
            <v>114850</v>
          </cell>
          <cell r="X206">
            <v>114930</v>
          </cell>
          <cell r="Y206">
            <v>114850</v>
          </cell>
          <cell r="Z206">
            <v>114900</v>
          </cell>
          <cell r="AA206">
            <v>109450</v>
          </cell>
          <cell r="AB206">
            <v>109700</v>
          </cell>
          <cell r="AC206">
            <v>109440</v>
          </cell>
          <cell r="AD206">
            <v>109640</v>
          </cell>
          <cell r="AE206">
            <v>111330</v>
          </cell>
          <cell r="AF206">
            <v>111410</v>
          </cell>
          <cell r="AG206">
            <v>111320</v>
          </cell>
          <cell r="AH206">
            <v>111380</v>
          </cell>
        </row>
        <row r="207">
          <cell r="S207">
            <v>108330</v>
          </cell>
          <cell r="T207">
            <v>108330</v>
          </cell>
          <cell r="U207">
            <v>108200</v>
          </cell>
          <cell r="V207">
            <v>108270</v>
          </cell>
          <cell r="W207">
            <v>114900</v>
          </cell>
          <cell r="X207">
            <v>114910</v>
          </cell>
          <cell r="Y207">
            <v>114870</v>
          </cell>
          <cell r="Z207">
            <v>114900</v>
          </cell>
          <cell r="AA207">
            <v>109630</v>
          </cell>
          <cell r="AB207">
            <v>109650</v>
          </cell>
          <cell r="AC207">
            <v>109570</v>
          </cell>
          <cell r="AD207">
            <v>109630</v>
          </cell>
          <cell r="AE207">
            <v>111380</v>
          </cell>
          <cell r="AF207">
            <v>111390</v>
          </cell>
          <cell r="AG207">
            <v>111340</v>
          </cell>
          <cell r="AH207">
            <v>111340</v>
          </cell>
        </row>
        <row r="208">
          <cell r="S208">
            <v>108170</v>
          </cell>
          <cell r="T208">
            <v>108170</v>
          </cell>
          <cell r="U208">
            <v>108150</v>
          </cell>
          <cell r="V208">
            <v>108150</v>
          </cell>
          <cell r="W208">
            <v>114890</v>
          </cell>
          <cell r="X208">
            <v>114970</v>
          </cell>
          <cell r="Y208">
            <v>114890</v>
          </cell>
          <cell r="Z208">
            <v>114920</v>
          </cell>
          <cell r="AA208">
            <v>109620</v>
          </cell>
          <cell r="AB208">
            <v>109670</v>
          </cell>
          <cell r="AC208">
            <v>109600</v>
          </cell>
          <cell r="AD208">
            <v>109610</v>
          </cell>
          <cell r="AE208">
            <v>111360</v>
          </cell>
          <cell r="AF208">
            <v>111380</v>
          </cell>
          <cell r="AG208">
            <v>111330</v>
          </cell>
          <cell r="AH208">
            <v>111360</v>
          </cell>
        </row>
        <row r="209">
          <cell r="S209">
            <v>108200</v>
          </cell>
          <cell r="T209">
            <v>108210</v>
          </cell>
          <cell r="U209">
            <v>108160</v>
          </cell>
          <cell r="V209">
            <v>108210</v>
          </cell>
          <cell r="W209">
            <v>114920</v>
          </cell>
          <cell r="X209">
            <v>114930</v>
          </cell>
          <cell r="Y209">
            <v>114910</v>
          </cell>
          <cell r="Z209">
            <v>114930</v>
          </cell>
          <cell r="AA209">
            <v>109620</v>
          </cell>
          <cell r="AB209">
            <v>109620</v>
          </cell>
          <cell r="AC209">
            <v>109590</v>
          </cell>
          <cell r="AD209">
            <v>109610</v>
          </cell>
          <cell r="AE209">
            <v>111360</v>
          </cell>
          <cell r="AF209">
            <v>111420</v>
          </cell>
          <cell r="AG209">
            <v>111360</v>
          </cell>
          <cell r="AH209">
            <v>111410</v>
          </cell>
        </row>
        <row r="210">
          <cell r="S210">
            <v>108210</v>
          </cell>
          <cell r="T210">
            <v>108280</v>
          </cell>
          <cell r="U210">
            <v>108210</v>
          </cell>
          <cell r="V210">
            <v>108280</v>
          </cell>
          <cell r="W210">
            <v>114930</v>
          </cell>
          <cell r="X210">
            <v>114930</v>
          </cell>
          <cell r="Y210">
            <v>114880</v>
          </cell>
          <cell r="Z210">
            <v>114890</v>
          </cell>
          <cell r="AA210">
            <v>109620</v>
          </cell>
          <cell r="AB210">
            <v>109650</v>
          </cell>
          <cell r="AC210">
            <v>109560</v>
          </cell>
          <cell r="AD210">
            <v>109580</v>
          </cell>
          <cell r="AE210">
            <v>111410</v>
          </cell>
          <cell r="AF210">
            <v>111440</v>
          </cell>
          <cell r="AG210">
            <v>111380</v>
          </cell>
          <cell r="AH210">
            <v>111430</v>
          </cell>
        </row>
        <row r="211">
          <cell r="S211">
            <v>108250</v>
          </cell>
          <cell r="T211">
            <v>108420</v>
          </cell>
          <cell r="U211">
            <v>108250</v>
          </cell>
          <cell r="V211">
            <v>108400</v>
          </cell>
          <cell r="W211">
            <v>114890</v>
          </cell>
          <cell r="X211">
            <v>114940</v>
          </cell>
          <cell r="Y211">
            <v>114890</v>
          </cell>
          <cell r="Z211">
            <v>114930</v>
          </cell>
          <cell r="AA211">
            <v>109570</v>
          </cell>
          <cell r="AB211">
            <v>109610</v>
          </cell>
          <cell r="AC211">
            <v>109520</v>
          </cell>
          <cell r="AD211">
            <v>109600</v>
          </cell>
          <cell r="AE211">
            <v>111440</v>
          </cell>
          <cell r="AF211">
            <v>111480</v>
          </cell>
          <cell r="AG211">
            <v>111420</v>
          </cell>
          <cell r="AH211">
            <v>111480</v>
          </cell>
        </row>
        <row r="212">
          <cell r="S212">
            <v>108400</v>
          </cell>
          <cell r="T212">
            <v>108440</v>
          </cell>
          <cell r="U212">
            <v>108370</v>
          </cell>
          <cell r="V212">
            <v>108380</v>
          </cell>
          <cell r="W212">
            <v>114920</v>
          </cell>
          <cell r="X212">
            <v>114930</v>
          </cell>
          <cell r="Y212">
            <v>114850</v>
          </cell>
          <cell r="Z212">
            <v>114870</v>
          </cell>
          <cell r="AA212">
            <v>109620</v>
          </cell>
          <cell r="AB212">
            <v>109620</v>
          </cell>
          <cell r="AC212">
            <v>109550</v>
          </cell>
          <cell r="AD212">
            <v>109590</v>
          </cell>
          <cell r="AE212">
            <v>111480</v>
          </cell>
          <cell r="AF212">
            <v>111710</v>
          </cell>
          <cell r="AG212">
            <v>111460</v>
          </cell>
          <cell r="AH212">
            <v>111530</v>
          </cell>
        </row>
        <row r="213">
          <cell r="S213">
            <v>108320</v>
          </cell>
          <cell r="T213">
            <v>108360</v>
          </cell>
          <cell r="U213">
            <v>108270</v>
          </cell>
          <cell r="V213">
            <v>108280</v>
          </cell>
          <cell r="W213">
            <v>114870</v>
          </cell>
          <cell r="X213">
            <v>114890</v>
          </cell>
          <cell r="Y213">
            <v>114860</v>
          </cell>
          <cell r="Z213">
            <v>114870</v>
          </cell>
          <cell r="AA213">
            <v>109580</v>
          </cell>
          <cell r="AB213">
            <v>109610</v>
          </cell>
          <cell r="AC213">
            <v>109510</v>
          </cell>
          <cell r="AD213">
            <v>109530</v>
          </cell>
          <cell r="AE213">
            <v>111540</v>
          </cell>
          <cell r="AF213">
            <v>111610</v>
          </cell>
          <cell r="AG213">
            <v>111520</v>
          </cell>
          <cell r="AH213">
            <v>111540</v>
          </cell>
        </row>
        <row r="214">
          <cell r="S214">
            <v>108290</v>
          </cell>
          <cell r="T214">
            <v>108350</v>
          </cell>
          <cell r="U214">
            <v>108290</v>
          </cell>
          <cell r="V214">
            <v>108320</v>
          </cell>
          <cell r="W214">
            <v>114880</v>
          </cell>
          <cell r="X214">
            <v>114920</v>
          </cell>
          <cell r="Y214">
            <v>114880</v>
          </cell>
          <cell r="Z214">
            <v>114890</v>
          </cell>
          <cell r="AA214">
            <v>109530</v>
          </cell>
          <cell r="AB214">
            <v>109600</v>
          </cell>
          <cell r="AC214">
            <v>109500</v>
          </cell>
          <cell r="AD214">
            <v>109590</v>
          </cell>
          <cell r="AE214">
            <v>111530</v>
          </cell>
          <cell r="AF214">
            <v>111540</v>
          </cell>
          <cell r="AG214">
            <v>111340</v>
          </cell>
          <cell r="AH214">
            <v>111360</v>
          </cell>
        </row>
        <row r="215">
          <cell r="S215">
            <v>108290</v>
          </cell>
          <cell r="T215">
            <v>108440</v>
          </cell>
          <cell r="U215">
            <v>108260</v>
          </cell>
          <cell r="V215">
            <v>108270</v>
          </cell>
          <cell r="W215">
            <v>114880</v>
          </cell>
          <cell r="X215">
            <v>114890</v>
          </cell>
          <cell r="Y215">
            <v>114860</v>
          </cell>
          <cell r="Z215">
            <v>114860</v>
          </cell>
          <cell r="AA215">
            <v>109580</v>
          </cell>
          <cell r="AB215">
            <v>109600</v>
          </cell>
          <cell r="AC215">
            <v>109460</v>
          </cell>
          <cell r="AD215">
            <v>109480</v>
          </cell>
          <cell r="AE215">
            <v>111360</v>
          </cell>
          <cell r="AF215">
            <v>111440</v>
          </cell>
          <cell r="AG215">
            <v>111350</v>
          </cell>
          <cell r="AH215">
            <v>111440</v>
          </cell>
        </row>
        <row r="216">
          <cell r="S216">
            <v>108270</v>
          </cell>
          <cell r="T216">
            <v>108390</v>
          </cell>
          <cell r="U216">
            <v>108250</v>
          </cell>
          <cell r="V216">
            <v>108300</v>
          </cell>
          <cell r="W216">
            <v>114860</v>
          </cell>
          <cell r="X216">
            <v>114920</v>
          </cell>
          <cell r="Y216">
            <v>114860</v>
          </cell>
          <cell r="Z216">
            <v>114910</v>
          </cell>
          <cell r="AA216">
            <v>109480</v>
          </cell>
          <cell r="AB216">
            <v>109590</v>
          </cell>
          <cell r="AC216">
            <v>109480</v>
          </cell>
          <cell r="AD216">
            <v>109550</v>
          </cell>
          <cell r="AE216">
            <v>111440</v>
          </cell>
          <cell r="AF216">
            <v>111510</v>
          </cell>
          <cell r="AG216">
            <v>111380</v>
          </cell>
          <cell r="AH216">
            <v>111490</v>
          </cell>
        </row>
        <row r="217">
          <cell r="S217">
            <v>108300</v>
          </cell>
          <cell r="T217">
            <v>108400</v>
          </cell>
          <cell r="U217">
            <v>108280</v>
          </cell>
          <cell r="V217">
            <v>108330</v>
          </cell>
          <cell r="W217">
            <v>114920</v>
          </cell>
          <cell r="X217">
            <v>114920</v>
          </cell>
          <cell r="Y217">
            <v>114850</v>
          </cell>
          <cell r="Z217">
            <v>114870</v>
          </cell>
          <cell r="AA217">
            <v>109560</v>
          </cell>
          <cell r="AB217">
            <v>109590</v>
          </cell>
          <cell r="AC217">
            <v>109500</v>
          </cell>
          <cell r="AD217">
            <v>109560</v>
          </cell>
          <cell r="AE217">
            <v>111470</v>
          </cell>
          <cell r="AF217">
            <v>111520</v>
          </cell>
          <cell r="AG217">
            <v>111440</v>
          </cell>
          <cell r="AH217">
            <v>111480</v>
          </cell>
        </row>
        <row r="218">
          <cell r="S218">
            <v>108320</v>
          </cell>
          <cell r="T218">
            <v>108350</v>
          </cell>
          <cell r="U218">
            <v>108300</v>
          </cell>
          <cell r="V218">
            <v>108300</v>
          </cell>
          <cell r="W218">
            <v>114870</v>
          </cell>
          <cell r="X218">
            <v>114870</v>
          </cell>
          <cell r="Y218">
            <v>114780</v>
          </cell>
          <cell r="Z218">
            <v>114820</v>
          </cell>
          <cell r="AA218">
            <v>109550</v>
          </cell>
          <cell r="AB218">
            <v>109620</v>
          </cell>
          <cell r="AC218">
            <v>109550</v>
          </cell>
          <cell r="AD218">
            <v>109570</v>
          </cell>
          <cell r="AE218">
            <v>111470</v>
          </cell>
          <cell r="AF218">
            <v>111480</v>
          </cell>
          <cell r="AG218">
            <v>111210</v>
          </cell>
          <cell r="AH218">
            <v>111210</v>
          </cell>
        </row>
        <row r="219">
          <cell r="S219">
            <v>108280</v>
          </cell>
          <cell r="T219">
            <v>108280</v>
          </cell>
          <cell r="U219">
            <v>108210</v>
          </cell>
          <cell r="V219">
            <v>108230</v>
          </cell>
          <cell r="W219">
            <v>114820</v>
          </cell>
          <cell r="X219">
            <v>114840</v>
          </cell>
          <cell r="Y219">
            <v>114800</v>
          </cell>
          <cell r="Z219">
            <v>114820</v>
          </cell>
          <cell r="AA219">
            <v>109580</v>
          </cell>
          <cell r="AB219">
            <v>109640</v>
          </cell>
          <cell r="AC219">
            <v>109580</v>
          </cell>
          <cell r="AD219">
            <v>109600</v>
          </cell>
          <cell r="AE219">
            <v>111210</v>
          </cell>
          <cell r="AF219">
            <v>111310</v>
          </cell>
          <cell r="AG219">
            <v>111170</v>
          </cell>
          <cell r="AH219">
            <v>111280</v>
          </cell>
        </row>
        <row r="220">
          <cell r="S220">
            <v>108270</v>
          </cell>
          <cell r="T220">
            <v>108270</v>
          </cell>
          <cell r="U220">
            <v>108110</v>
          </cell>
          <cell r="V220">
            <v>108120</v>
          </cell>
          <cell r="W220">
            <v>114820</v>
          </cell>
          <cell r="X220">
            <v>114840</v>
          </cell>
          <cell r="Y220">
            <v>114770</v>
          </cell>
          <cell r="Z220">
            <v>114790</v>
          </cell>
          <cell r="AA220">
            <v>109600</v>
          </cell>
          <cell r="AB220">
            <v>109650</v>
          </cell>
          <cell r="AC220">
            <v>109590</v>
          </cell>
          <cell r="AD220">
            <v>109620</v>
          </cell>
          <cell r="AE220">
            <v>111280</v>
          </cell>
          <cell r="AF220">
            <v>111360</v>
          </cell>
          <cell r="AG220">
            <v>111260</v>
          </cell>
          <cell r="AH220">
            <v>111350</v>
          </cell>
        </row>
        <row r="221">
          <cell r="S221">
            <v>108080</v>
          </cell>
          <cell r="T221">
            <v>108160</v>
          </cell>
          <cell r="U221">
            <v>108060</v>
          </cell>
          <cell r="V221">
            <v>108160</v>
          </cell>
          <cell r="W221">
            <v>114790</v>
          </cell>
          <cell r="X221">
            <v>114820</v>
          </cell>
          <cell r="Y221">
            <v>114780</v>
          </cell>
          <cell r="Z221">
            <v>114790</v>
          </cell>
          <cell r="AA221">
            <v>109620</v>
          </cell>
          <cell r="AB221">
            <v>109620</v>
          </cell>
          <cell r="AC221">
            <v>109520</v>
          </cell>
          <cell r="AD221">
            <v>109570</v>
          </cell>
          <cell r="AE221">
            <v>111360</v>
          </cell>
          <cell r="AF221">
            <v>111380</v>
          </cell>
          <cell r="AG221">
            <v>111330</v>
          </cell>
          <cell r="AH221">
            <v>111340</v>
          </cell>
        </row>
        <row r="222">
          <cell r="S222">
            <v>108180</v>
          </cell>
          <cell r="T222">
            <v>108180</v>
          </cell>
          <cell r="U222">
            <v>108180</v>
          </cell>
          <cell r="V222">
            <v>108180</v>
          </cell>
          <cell r="W222">
            <v>114800</v>
          </cell>
          <cell r="X222">
            <v>114860</v>
          </cell>
          <cell r="Y222">
            <v>114800</v>
          </cell>
          <cell r="Z222">
            <v>114840</v>
          </cell>
          <cell r="AA222">
            <v>109570</v>
          </cell>
          <cell r="AB222">
            <v>109610</v>
          </cell>
          <cell r="AC222">
            <v>109570</v>
          </cell>
          <cell r="AD222">
            <v>109580</v>
          </cell>
          <cell r="AE222">
            <v>111360</v>
          </cell>
          <cell r="AF222">
            <v>111380</v>
          </cell>
          <cell r="AG222">
            <v>111340</v>
          </cell>
          <cell r="AH222">
            <v>111370</v>
          </cell>
        </row>
        <row r="223">
          <cell r="S223">
            <v>108210</v>
          </cell>
          <cell r="T223">
            <v>108240</v>
          </cell>
          <cell r="U223">
            <v>108210</v>
          </cell>
          <cell r="V223">
            <v>108240</v>
          </cell>
          <cell r="W223">
            <v>114830</v>
          </cell>
          <cell r="X223">
            <v>114870</v>
          </cell>
          <cell r="Y223">
            <v>114820</v>
          </cell>
          <cell r="Z223">
            <v>114840</v>
          </cell>
          <cell r="AA223">
            <v>109600</v>
          </cell>
          <cell r="AB223">
            <v>109680</v>
          </cell>
          <cell r="AC223">
            <v>109600</v>
          </cell>
          <cell r="AD223">
            <v>109620</v>
          </cell>
          <cell r="AE223">
            <v>111370</v>
          </cell>
          <cell r="AF223">
            <v>111440</v>
          </cell>
          <cell r="AG223">
            <v>111370</v>
          </cell>
          <cell r="AH223">
            <v>111430</v>
          </cell>
        </row>
        <row r="224">
          <cell r="S224">
            <v>108190</v>
          </cell>
          <cell r="T224">
            <v>108190</v>
          </cell>
          <cell r="U224">
            <v>108160</v>
          </cell>
          <cell r="V224">
            <v>108160</v>
          </cell>
          <cell r="W224">
            <v>114830</v>
          </cell>
          <cell r="X224">
            <v>114840</v>
          </cell>
          <cell r="Y224">
            <v>114790</v>
          </cell>
          <cell r="Z224">
            <v>114830</v>
          </cell>
          <cell r="AA224">
            <v>109620</v>
          </cell>
          <cell r="AB224">
            <v>109650</v>
          </cell>
          <cell r="AC224">
            <v>109580</v>
          </cell>
          <cell r="AD224">
            <v>109600</v>
          </cell>
          <cell r="AE224">
            <v>111430</v>
          </cell>
          <cell r="AF224">
            <v>111460</v>
          </cell>
          <cell r="AG224">
            <v>111380</v>
          </cell>
          <cell r="AH224">
            <v>111450</v>
          </cell>
        </row>
        <row r="225">
          <cell r="S225">
            <v>108260</v>
          </cell>
          <cell r="T225">
            <v>108260</v>
          </cell>
          <cell r="U225">
            <v>108260</v>
          </cell>
          <cell r="V225">
            <v>108260</v>
          </cell>
          <cell r="W225">
            <v>114840</v>
          </cell>
          <cell r="X225">
            <v>114850</v>
          </cell>
          <cell r="Y225">
            <v>114800</v>
          </cell>
          <cell r="Z225">
            <v>114820</v>
          </cell>
          <cell r="AA225">
            <v>109590</v>
          </cell>
          <cell r="AB225">
            <v>109610</v>
          </cell>
          <cell r="AC225">
            <v>109550</v>
          </cell>
          <cell r="AD225">
            <v>109560</v>
          </cell>
          <cell r="AE225">
            <v>111450</v>
          </cell>
          <cell r="AF225">
            <v>111460</v>
          </cell>
          <cell r="AG225">
            <v>111390</v>
          </cell>
          <cell r="AH225">
            <v>111440</v>
          </cell>
        </row>
        <row r="226">
          <cell r="S226">
            <v>108270</v>
          </cell>
          <cell r="T226">
            <v>108310</v>
          </cell>
          <cell r="U226">
            <v>108260</v>
          </cell>
          <cell r="V226">
            <v>108310</v>
          </cell>
          <cell r="W226">
            <v>114830</v>
          </cell>
          <cell r="X226">
            <v>114830</v>
          </cell>
          <cell r="Y226">
            <v>114800</v>
          </cell>
          <cell r="Z226">
            <v>114810</v>
          </cell>
          <cell r="AA226">
            <v>109550</v>
          </cell>
          <cell r="AB226">
            <v>109610</v>
          </cell>
          <cell r="AC226">
            <v>109550</v>
          </cell>
          <cell r="AD226">
            <v>109580</v>
          </cell>
          <cell r="AE226">
            <v>111410</v>
          </cell>
          <cell r="AF226">
            <v>111490</v>
          </cell>
          <cell r="AG226">
            <v>111410</v>
          </cell>
          <cell r="AH226">
            <v>111450</v>
          </cell>
        </row>
        <row r="227">
          <cell r="S227">
            <v>108320</v>
          </cell>
          <cell r="T227">
            <v>108450</v>
          </cell>
          <cell r="U227">
            <v>108320</v>
          </cell>
          <cell r="V227">
            <v>108430</v>
          </cell>
          <cell r="W227">
            <v>114800</v>
          </cell>
          <cell r="X227">
            <v>114870</v>
          </cell>
          <cell r="Y227">
            <v>114800</v>
          </cell>
          <cell r="Z227">
            <v>114850</v>
          </cell>
          <cell r="AA227">
            <v>109570</v>
          </cell>
          <cell r="AB227">
            <v>109570</v>
          </cell>
          <cell r="AC227">
            <v>109520</v>
          </cell>
          <cell r="AD227">
            <v>109540</v>
          </cell>
          <cell r="AE227">
            <v>111450</v>
          </cell>
          <cell r="AF227">
            <v>111450</v>
          </cell>
          <cell r="AG227">
            <v>111330</v>
          </cell>
          <cell r="AH227">
            <v>111360</v>
          </cell>
        </row>
        <row r="228">
          <cell r="S228">
            <v>108390</v>
          </cell>
          <cell r="T228">
            <v>108390</v>
          </cell>
          <cell r="U228">
            <v>108310</v>
          </cell>
          <cell r="V228">
            <v>108310</v>
          </cell>
          <cell r="W228">
            <v>114850</v>
          </cell>
          <cell r="X228">
            <v>114850</v>
          </cell>
          <cell r="Y228">
            <v>114770</v>
          </cell>
          <cell r="Z228">
            <v>114770</v>
          </cell>
          <cell r="AA228">
            <v>109530</v>
          </cell>
          <cell r="AB228">
            <v>109710</v>
          </cell>
          <cell r="AC228">
            <v>109510</v>
          </cell>
          <cell r="AD228">
            <v>109700</v>
          </cell>
          <cell r="AE228">
            <v>111350</v>
          </cell>
          <cell r="AF228">
            <v>111390</v>
          </cell>
          <cell r="AG228">
            <v>111350</v>
          </cell>
          <cell r="AH228">
            <v>111350</v>
          </cell>
        </row>
        <row r="229">
          <cell r="S229">
            <v>108280</v>
          </cell>
          <cell r="T229">
            <v>108310</v>
          </cell>
          <cell r="U229">
            <v>108280</v>
          </cell>
          <cell r="V229">
            <v>108280</v>
          </cell>
          <cell r="W229">
            <v>114780</v>
          </cell>
          <cell r="X229">
            <v>114800</v>
          </cell>
          <cell r="Y229">
            <v>114740</v>
          </cell>
          <cell r="Z229">
            <v>114760</v>
          </cell>
          <cell r="AA229">
            <v>109700</v>
          </cell>
          <cell r="AB229">
            <v>109700</v>
          </cell>
          <cell r="AC229">
            <v>109630</v>
          </cell>
          <cell r="AD229">
            <v>109670</v>
          </cell>
          <cell r="AE229">
            <v>111340</v>
          </cell>
          <cell r="AF229">
            <v>111370</v>
          </cell>
          <cell r="AG229">
            <v>111300</v>
          </cell>
          <cell r="AH229">
            <v>111320</v>
          </cell>
        </row>
        <row r="230">
          <cell r="S230">
            <v>108280</v>
          </cell>
          <cell r="T230">
            <v>108330</v>
          </cell>
          <cell r="U230">
            <v>108220</v>
          </cell>
          <cell r="V230">
            <v>108220</v>
          </cell>
          <cell r="W230">
            <v>114760</v>
          </cell>
          <cell r="X230">
            <v>114790</v>
          </cell>
          <cell r="Y230">
            <v>114730</v>
          </cell>
          <cell r="Z230">
            <v>114780</v>
          </cell>
          <cell r="AA230">
            <v>109670</v>
          </cell>
          <cell r="AB230">
            <v>109710</v>
          </cell>
          <cell r="AC230">
            <v>109650</v>
          </cell>
          <cell r="AD230">
            <v>109650</v>
          </cell>
          <cell r="AE230">
            <v>111320</v>
          </cell>
          <cell r="AF230">
            <v>111400</v>
          </cell>
          <cell r="AG230">
            <v>111320</v>
          </cell>
          <cell r="AH230">
            <v>111340</v>
          </cell>
        </row>
        <row r="231">
          <cell r="S231">
            <v>108230</v>
          </cell>
          <cell r="T231">
            <v>108250</v>
          </cell>
          <cell r="U231">
            <v>108230</v>
          </cell>
          <cell r="V231">
            <v>108240</v>
          </cell>
          <cell r="W231">
            <v>114770</v>
          </cell>
          <cell r="X231">
            <v>114780</v>
          </cell>
          <cell r="Y231">
            <v>114720</v>
          </cell>
          <cell r="Z231">
            <v>114730</v>
          </cell>
          <cell r="AA231">
            <v>109650</v>
          </cell>
          <cell r="AB231">
            <v>109700</v>
          </cell>
          <cell r="AC231">
            <v>109630</v>
          </cell>
          <cell r="AD231">
            <v>109690</v>
          </cell>
          <cell r="AE231">
            <v>111330</v>
          </cell>
          <cell r="AF231">
            <v>111400</v>
          </cell>
          <cell r="AG231">
            <v>111320</v>
          </cell>
          <cell r="AH231">
            <v>111390</v>
          </cell>
        </row>
        <row r="232">
          <cell r="S232">
            <v>108250</v>
          </cell>
          <cell r="T232">
            <v>108250</v>
          </cell>
          <cell r="U232">
            <v>108160</v>
          </cell>
          <cell r="V232">
            <v>108160</v>
          </cell>
          <cell r="W232">
            <v>114740</v>
          </cell>
          <cell r="X232">
            <v>114750</v>
          </cell>
          <cell r="Y232">
            <v>114700</v>
          </cell>
          <cell r="Z232">
            <v>114700</v>
          </cell>
          <cell r="AA232">
            <v>109670</v>
          </cell>
          <cell r="AB232">
            <v>109800</v>
          </cell>
          <cell r="AC232">
            <v>109650</v>
          </cell>
          <cell r="AD232">
            <v>109790</v>
          </cell>
          <cell r="AE232">
            <v>111390</v>
          </cell>
          <cell r="AF232">
            <v>111480</v>
          </cell>
          <cell r="AG232">
            <v>111340</v>
          </cell>
          <cell r="AH232">
            <v>111430</v>
          </cell>
        </row>
        <row r="233">
          <cell r="S233">
            <v>108180</v>
          </cell>
          <cell r="T233">
            <v>108230</v>
          </cell>
          <cell r="U233">
            <v>108180</v>
          </cell>
          <cell r="V233">
            <v>108230</v>
          </cell>
          <cell r="W233">
            <v>114700</v>
          </cell>
          <cell r="X233">
            <v>114700</v>
          </cell>
          <cell r="Y233">
            <v>114570</v>
          </cell>
          <cell r="Z233">
            <v>114630</v>
          </cell>
          <cell r="AA233">
            <v>109790</v>
          </cell>
          <cell r="AB233">
            <v>110040</v>
          </cell>
          <cell r="AC233">
            <v>109770</v>
          </cell>
          <cell r="AD233">
            <v>109980</v>
          </cell>
          <cell r="AE233">
            <v>111410</v>
          </cell>
          <cell r="AF233">
            <v>111420</v>
          </cell>
          <cell r="AG233">
            <v>111360</v>
          </cell>
          <cell r="AH233">
            <v>111390</v>
          </cell>
        </row>
        <row r="234">
          <cell r="S234">
            <v>108150</v>
          </cell>
          <cell r="T234">
            <v>108190</v>
          </cell>
          <cell r="U234">
            <v>108150</v>
          </cell>
          <cell r="V234">
            <v>108190</v>
          </cell>
          <cell r="W234">
            <v>114620</v>
          </cell>
          <cell r="X234">
            <v>114630</v>
          </cell>
          <cell r="Y234">
            <v>114580</v>
          </cell>
          <cell r="Z234">
            <v>114610</v>
          </cell>
          <cell r="AA234">
            <v>109970</v>
          </cell>
          <cell r="AB234">
            <v>110100</v>
          </cell>
          <cell r="AC234">
            <v>109960</v>
          </cell>
          <cell r="AD234">
            <v>110010</v>
          </cell>
          <cell r="AE234">
            <v>111380</v>
          </cell>
          <cell r="AF234">
            <v>111410</v>
          </cell>
          <cell r="AG234">
            <v>111360</v>
          </cell>
          <cell r="AH234">
            <v>111390</v>
          </cell>
        </row>
        <row r="235">
          <cell r="S235">
            <v>108200</v>
          </cell>
          <cell r="T235">
            <v>108200</v>
          </cell>
          <cell r="U235">
            <v>108190</v>
          </cell>
          <cell r="V235">
            <v>108200</v>
          </cell>
          <cell r="W235">
            <v>114610</v>
          </cell>
          <cell r="X235">
            <v>114650</v>
          </cell>
          <cell r="Y235">
            <v>114600</v>
          </cell>
          <cell r="Z235">
            <v>114620</v>
          </cell>
          <cell r="AA235">
            <v>110010</v>
          </cell>
          <cell r="AB235">
            <v>110020</v>
          </cell>
          <cell r="AC235">
            <v>109920</v>
          </cell>
          <cell r="AD235">
            <v>109950</v>
          </cell>
          <cell r="AE235">
            <v>111400</v>
          </cell>
          <cell r="AF235">
            <v>111460</v>
          </cell>
          <cell r="AG235">
            <v>111400</v>
          </cell>
          <cell r="AH235">
            <v>111450</v>
          </cell>
        </row>
        <row r="236">
          <cell r="S236">
            <v>108230</v>
          </cell>
          <cell r="T236">
            <v>108270</v>
          </cell>
          <cell r="U236">
            <v>108230</v>
          </cell>
          <cell r="V236">
            <v>108270</v>
          </cell>
          <cell r="W236">
            <v>114620</v>
          </cell>
          <cell r="X236">
            <v>114640</v>
          </cell>
          <cell r="Y236">
            <v>114610</v>
          </cell>
          <cell r="Z236">
            <v>114610</v>
          </cell>
          <cell r="AA236">
            <v>109930</v>
          </cell>
          <cell r="AB236">
            <v>110080</v>
          </cell>
          <cell r="AC236">
            <v>109930</v>
          </cell>
          <cell r="AD236">
            <v>110020</v>
          </cell>
          <cell r="AE236">
            <v>111460</v>
          </cell>
          <cell r="AF236">
            <v>111470</v>
          </cell>
          <cell r="AG236">
            <v>111410</v>
          </cell>
          <cell r="AH236">
            <v>111420</v>
          </cell>
        </row>
        <row r="237">
          <cell r="S237">
            <v>108250</v>
          </cell>
          <cell r="T237">
            <v>108250</v>
          </cell>
          <cell r="U237">
            <v>108180</v>
          </cell>
          <cell r="V237">
            <v>108180</v>
          </cell>
          <cell r="W237">
            <v>114610</v>
          </cell>
          <cell r="X237">
            <v>114630</v>
          </cell>
          <cell r="Y237">
            <v>114580</v>
          </cell>
          <cell r="Z237">
            <v>114630</v>
          </cell>
          <cell r="AA237">
            <v>110020</v>
          </cell>
          <cell r="AB237">
            <v>110090</v>
          </cell>
          <cell r="AC237">
            <v>109950</v>
          </cell>
          <cell r="AD237">
            <v>109970</v>
          </cell>
          <cell r="AE237">
            <v>111430</v>
          </cell>
          <cell r="AF237">
            <v>111430</v>
          </cell>
          <cell r="AG237">
            <v>111380</v>
          </cell>
          <cell r="AH237">
            <v>111400</v>
          </cell>
        </row>
        <row r="238">
          <cell r="S238">
            <v>108170</v>
          </cell>
          <cell r="T238">
            <v>108200</v>
          </cell>
          <cell r="U238">
            <v>108170</v>
          </cell>
          <cell r="V238">
            <v>108180</v>
          </cell>
          <cell r="W238">
            <v>114620</v>
          </cell>
          <cell r="X238">
            <v>114640</v>
          </cell>
          <cell r="Y238">
            <v>114620</v>
          </cell>
          <cell r="Z238">
            <v>114630</v>
          </cell>
          <cell r="AA238">
            <v>109960</v>
          </cell>
          <cell r="AB238">
            <v>109990</v>
          </cell>
          <cell r="AC238">
            <v>109810</v>
          </cell>
          <cell r="AD238">
            <v>109860</v>
          </cell>
          <cell r="AE238">
            <v>111390</v>
          </cell>
          <cell r="AF238">
            <v>111430</v>
          </cell>
          <cell r="AG238">
            <v>111390</v>
          </cell>
          <cell r="AH238">
            <v>111430</v>
          </cell>
        </row>
        <row r="239">
          <cell r="S239">
            <v>108240</v>
          </cell>
          <cell r="T239">
            <v>108250</v>
          </cell>
          <cell r="U239">
            <v>108240</v>
          </cell>
          <cell r="V239">
            <v>108250</v>
          </cell>
          <cell r="W239">
            <v>114640</v>
          </cell>
          <cell r="X239">
            <v>114640</v>
          </cell>
          <cell r="Y239">
            <v>114580</v>
          </cell>
          <cell r="Z239">
            <v>114580</v>
          </cell>
          <cell r="AA239">
            <v>109850</v>
          </cell>
          <cell r="AB239">
            <v>109920</v>
          </cell>
          <cell r="AC239">
            <v>109820</v>
          </cell>
          <cell r="AD239">
            <v>109910</v>
          </cell>
          <cell r="AE239">
            <v>111430</v>
          </cell>
          <cell r="AF239">
            <v>111490</v>
          </cell>
          <cell r="AG239">
            <v>111420</v>
          </cell>
          <cell r="AH239">
            <v>111470</v>
          </cell>
        </row>
        <row r="240">
          <cell r="S240">
            <v>108250</v>
          </cell>
          <cell r="T240">
            <v>108250</v>
          </cell>
          <cell r="U240">
            <v>108190</v>
          </cell>
          <cell r="V240">
            <v>108190</v>
          </cell>
          <cell r="W240">
            <v>114590</v>
          </cell>
          <cell r="X240">
            <v>114590</v>
          </cell>
          <cell r="Y240">
            <v>114560</v>
          </cell>
          <cell r="Z240">
            <v>114570</v>
          </cell>
          <cell r="AA240">
            <v>109920</v>
          </cell>
          <cell r="AB240">
            <v>109960</v>
          </cell>
          <cell r="AC240">
            <v>109890</v>
          </cell>
          <cell r="AD240">
            <v>109950</v>
          </cell>
          <cell r="AE240">
            <v>111470</v>
          </cell>
          <cell r="AF240">
            <v>111510</v>
          </cell>
          <cell r="AG240">
            <v>111450</v>
          </cell>
          <cell r="AH240">
            <v>111480</v>
          </cell>
        </row>
        <row r="241">
          <cell r="S241">
            <v>108170</v>
          </cell>
          <cell r="T241">
            <v>108170</v>
          </cell>
          <cell r="U241">
            <v>108130</v>
          </cell>
          <cell r="V241">
            <v>108140</v>
          </cell>
          <cell r="W241">
            <v>114580</v>
          </cell>
          <cell r="X241">
            <v>114580</v>
          </cell>
          <cell r="Y241">
            <v>114450</v>
          </cell>
          <cell r="Z241">
            <v>114500</v>
          </cell>
          <cell r="AA241">
            <v>109960</v>
          </cell>
          <cell r="AB241">
            <v>110140</v>
          </cell>
          <cell r="AC241">
            <v>109960</v>
          </cell>
          <cell r="AD241">
            <v>110110</v>
          </cell>
          <cell r="AE241">
            <v>111470</v>
          </cell>
          <cell r="AF241">
            <v>111490</v>
          </cell>
          <cell r="AG241">
            <v>111430</v>
          </cell>
          <cell r="AH241">
            <v>111480</v>
          </cell>
        </row>
        <row r="242">
          <cell r="S242">
            <v>108110</v>
          </cell>
          <cell r="T242">
            <v>108140</v>
          </cell>
          <cell r="U242">
            <v>108110</v>
          </cell>
          <cell r="V242">
            <v>108110</v>
          </cell>
          <cell r="W242">
            <v>114510</v>
          </cell>
          <cell r="X242">
            <v>114520</v>
          </cell>
          <cell r="Y242">
            <v>114360</v>
          </cell>
          <cell r="Z242">
            <v>114470</v>
          </cell>
          <cell r="AA242">
            <v>110100</v>
          </cell>
          <cell r="AB242">
            <v>110220</v>
          </cell>
          <cell r="AC242">
            <v>110000</v>
          </cell>
          <cell r="AD242">
            <v>110140</v>
          </cell>
          <cell r="AE242">
            <v>111470</v>
          </cell>
          <cell r="AF242">
            <v>111490</v>
          </cell>
          <cell r="AG242">
            <v>111420</v>
          </cell>
          <cell r="AH242">
            <v>111440</v>
          </cell>
        </row>
        <row r="243">
          <cell r="S243">
            <v>108100</v>
          </cell>
          <cell r="T243">
            <v>108100</v>
          </cell>
          <cell r="U243">
            <v>108050</v>
          </cell>
          <cell r="V243">
            <v>108050</v>
          </cell>
          <cell r="W243">
            <v>114460</v>
          </cell>
          <cell r="X243">
            <v>114560</v>
          </cell>
          <cell r="Y243">
            <v>114450</v>
          </cell>
          <cell r="Z243">
            <v>114530</v>
          </cell>
          <cell r="AA243">
            <v>110140</v>
          </cell>
          <cell r="AB243">
            <v>110180</v>
          </cell>
          <cell r="AC243">
            <v>110060</v>
          </cell>
          <cell r="AD243">
            <v>110070</v>
          </cell>
          <cell r="AE243">
            <v>111440</v>
          </cell>
          <cell r="AF243">
            <v>111480</v>
          </cell>
          <cell r="AG243">
            <v>111410</v>
          </cell>
          <cell r="AH243">
            <v>111420</v>
          </cell>
        </row>
        <row r="244">
          <cell r="S244">
            <v>108100</v>
          </cell>
          <cell r="T244">
            <v>108100</v>
          </cell>
          <cell r="U244">
            <v>108050</v>
          </cell>
          <cell r="V244">
            <v>108050</v>
          </cell>
          <cell r="W244">
            <v>114540</v>
          </cell>
          <cell r="X244">
            <v>114570</v>
          </cell>
          <cell r="Y244">
            <v>114510</v>
          </cell>
          <cell r="Z244">
            <v>114560</v>
          </cell>
          <cell r="AA244">
            <v>110070</v>
          </cell>
          <cell r="AB244">
            <v>110100</v>
          </cell>
          <cell r="AC244">
            <v>110000</v>
          </cell>
          <cell r="AD244">
            <v>110020</v>
          </cell>
          <cell r="AE244">
            <v>111430</v>
          </cell>
          <cell r="AF244">
            <v>111440</v>
          </cell>
          <cell r="AG244">
            <v>111420</v>
          </cell>
          <cell r="AH244">
            <v>111440</v>
          </cell>
        </row>
        <row r="245">
          <cell r="S245">
            <v>108030</v>
          </cell>
          <cell r="T245">
            <v>108080</v>
          </cell>
          <cell r="U245">
            <v>108020</v>
          </cell>
          <cell r="V245">
            <v>108050</v>
          </cell>
          <cell r="W245">
            <v>114570</v>
          </cell>
          <cell r="X245">
            <v>114670</v>
          </cell>
          <cell r="Y245">
            <v>114570</v>
          </cell>
          <cell r="Z245">
            <v>114630</v>
          </cell>
          <cell r="AA245">
            <v>110020</v>
          </cell>
          <cell r="AB245">
            <v>110020</v>
          </cell>
          <cell r="AC245">
            <v>109950</v>
          </cell>
          <cell r="AD245">
            <v>109990</v>
          </cell>
          <cell r="AE245">
            <v>111450</v>
          </cell>
          <cell r="AF245">
            <v>111510</v>
          </cell>
          <cell r="AG245">
            <v>111450</v>
          </cell>
          <cell r="AH245">
            <v>111480</v>
          </cell>
        </row>
        <row r="246">
          <cell r="S246">
            <v>108100</v>
          </cell>
          <cell r="T246">
            <v>108110</v>
          </cell>
          <cell r="U246">
            <v>108080</v>
          </cell>
          <cell r="V246">
            <v>108080</v>
          </cell>
          <cell r="W246">
            <v>114640</v>
          </cell>
          <cell r="X246">
            <v>114650</v>
          </cell>
          <cell r="Y246">
            <v>114620</v>
          </cell>
          <cell r="Z246">
            <v>114640</v>
          </cell>
          <cell r="AA246">
            <v>109980</v>
          </cell>
          <cell r="AB246">
            <v>110060</v>
          </cell>
          <cell r="AC246">
            <v>109980</v>
          </cell>
          <cell r="AD246">
            <v>110010</v>
          </cell>
          <cell r="AE246">
            <v>111470</v>
          </cell>
          <cell r="AF246">
            <v>111510</v>
          </cell>
          <cell r="AG246">
            <v>111440</v>
          </cell>
          <cell r="AH246">
            <v>111500</v>
          </cell>
        </row>
        <row r="247">
          <cell r="S247">
            <v>108140</v>
          </cell>
          <cell r="T247">
            <v>108140</v>
          </cell>
          <cell r="U247">
            <v>108100</v>
          </cell>
          <cell r="V247">
            <v>108120</v>
          </cell>
          <cell r="W247">
            <v>114640</v>
          </cell>
          <cell r="X247">
            <v>114690</v>
          </cell>
          <cell r="Y247">
            <v>114630</v>
          </cell>
          <cell r="Z247">
            <v>114660</v>
          </cell>
          <cell r="AA247">
            <v>110020</v>
          </cell>
          <cell r="AB247">
            <v>110110</v>
          </cell>
          <cell r="AC247">
            <v>110020</v>
          </cell>
          <cell r="AD247">
            <v>110040</v>
          </cell>
          <cell r="AE247">
            <v>111500</v>
          </cell>
          <cell r="AF247">
            <v>111680</v>
          </cell>
          <cell r="AG247">
            <v>111490</v>
          </cell>
          <cell r="AH247">
            <v>111650</v>
          </cell>
        </row>
        <row r="248">
          <cell r="S248">
            <v>108140</v>
          </cell>
          <cell r="T248">
            <v>108140</v>
          </cell>
          <cell r="U248">
            <v>108140</v>
          </cell>
          <cell r="V248">
            <v>108140</v>
          </cell>
          <cell r="W248">
            <v>114660</v>
          </cell>
          <cell r="X248">
            <v>114680</v>
          </cell>
          <cell r="Y248">
            <v>114590</v>
          </cell>
          <cell r="Z248">
            <v>114590</v>
          </cell>
          <cell r="AA248">
            <v>110040</v>
          </cell>
          <cell r="AB248">
            <v>110090</v>
          </cell>
          <cell r="AC248">
            <v>109990</v>
          </cell>
          <cell r="AD248">
            <v>109990</v>
          </cell>
          <cell r="AE248">
            <v>111650</v>
          </cell>
          <cell r="AF248">
            <v>111690</v>
          </cell>
          <cell r="AG248">
            <v>111540</v>
          </cell>
          <cell r="AH248">
            <v>111610</v>
          </cell>
        </row>
        <row r="249">
          <cell r="S249">
            <v>108100</v>
          </cell>
          <cell r="T249">
            <v>108100</v>
          </cell>
          <cell r="U249">
            <v>108070</v>
          </cell>
          <cell r="V249">
            <v>108070</v>
          </cell>
          <cell r="W249">
            <v>114590</v>
          </cell>
          <cell r="X249">
            <v>114630</v>
          </cell>
          <cell r="Y249">
            <v>114580</v>
          </cell>
          <cell r="Z249">
            <v>114590</v>
          </cell>
          <cell r="AA249">
            <v>109990</v>
          </cell>
          <cell r="AB249">
            <v>110040</v>
          </cell>
          <cell r="AC249">
            <v>109980</v>
          </cell>
          <cell r="AD249">
            <v>110020</v>
          </cell>
          <cell r="AE249">
            <v>111610</v>
          </cell>
          <cell r="AF249">
            <v>111640</v>
          </cell>
          <cell r="AG249">
            <v>111550</v>
          </cell>
          <cell r="AH249">
            <v>111580</v>
          </cell>
        </row>
        <row r="250">
          <cell r="S250">
            <v>108080</v>
          </cell>
          <cell r="T250">
            <v>108080</v>
          </cell>
          <cell r="U250">
            <v>108080</v>
          </cell>
          <cell r="V250">
            <v>108080</v>
          </cell>
          <cell r="W250">
            <v>114600</v>
          </cell>
          <cell r="X250">
            <v>114600</v>
          </cell>
          <cell r="Y250">
            <v>114500</v>
          </cell>
          <cell r="Z250">
            <v>114510</v>
          </cell>
          <cell r="AA250">
            <v>110020</v>
          </cell>
          <cell r="AB250">
            <v>110020</v>
          </cell>
          <cell r="AC250">
            <v>109930</v>
          </cell>
          <cell r="AD250">
            <v>109960</v>
          </cell>
          <cell r="AE250">
            <v>111590</v>
          </cell>
          <cell r="AF250">
            <v>111590</v>
          </cell>
          <cell r="AG250">
            <v>111550</v>
          </cell>
          <cell r="AH250">
            <v>111580</v>
          </cell>
        </row>
        <row r="251">
          <cell r="S251">
            <v>108140</v>
          </cell>
          <cell r="T251">
            <v>108140</v>
          </cell>
          <cell r="U251">
            <v>108140</v>
          </cell>
          <cell r="V251">
            <v>108140</v>
          </cell>
          <cell r="W251">
            <v>114520</v>
          </cell>
          <cell r="X251">
            <v>114590</v>
          </cell>
          <cell r="Y251">
            <v>114520</v>
          </cell>
          <cell r="Z251">
            <v>114590</v>
          </cell>
          <cell r="AA251">
            <v>109960</v>
          </cell>
          <cell r="AB251">
            <v>110000</v>
          </cell>
          <cell r="AC251">
            <v>109960</v>
          </cell>
          <cell r="AD251">
            <v>109980</v>
          </cell>
          <cell r="AE251">
            <v>111570</v>
          </cell>
          <cell r="AF251">
            <v>111580</v>
          </cell>
          <cell r="AG251">
            <v>111540</v>
          </cell>
          <cell r="AH251">
            <v>111540</v>
          </cell>
        </row>
        <row r="252">
          <cell r="S252">
            <v>108140</v>
          </cell>
          <cell r="T252">
            <v>108200</v>
          </cell>
          <cell r="U252">
            <v>108140</v>
          </cell>
          <cell r="V252">
            <v>108180</v>
          </cell>
          <cell r="W252">
            <v>114580</v>
          </cell>
          <cell r="X252">
            <v>114630</v>
          </cell>
          <cell r="Y252">
            <v>114570</v>
          </cell>
          <cell r="Z252">
            <v>114620</v>
          </cell>
          <cell r="AA252">
            <v>109980</v>
          </cell>
          <cell r="AB252">
            <v>110070</v>
          </cell>
          <cell r="AC252">
            <v>109980</v>
          </cell>
          <cell r="AD252">
            <v>110030</v>
          </cell>
          <cell r="AE252">
            <v>111550</v>
          </cell>
          <cell r="AF252">
            <v>111620</v>
          </cell>
          <cell r="AG252">
            <v>111540</v>
          </cell>
          <cell r="AH252">
            <v>111600</v>
          </cell>
        </row>
        <row r="253">
          <cell r="S253">
            <v>108210</v>
          </cell>
          <cell r="T253">
            <v>108210</v>
          </cell>
          <cell r="U253">
            <v>108200</v>
          </cell>
          <cell r="V253">
            <v>108200</v>
          </cell>
          <cell r="W253">
            <v>114620</v>
          </cell>
          <cell r="X253">
            <v>114630</v>
          </cell>
          <cell r="Y253">
            <v>114600</v>
          </cell>
          <cell r="Z253">
            <v>114610</v>
          </cell>
          <cell r="AA253">
            <v>110030</v>
          </cell>
          <cell r="AB253">
            <v>110040</v>
          </cell>
          <cell r="AC253">
            <v>109880</v>
          </cell>
          <cell r="AD253">
            <v>109900</v>
          </cell>
          <cell r="AE253">
            <v>111610</v>
          </cell>
          <cell r="AF253">
            <v>111650</v>
          </cell>
          <cell r="AG253">
            <v>111610</v>
          </cell>
          <cell r="AH253">
            <v>111640</v>
          </cell>
        </row>
        <row r="254">
          <cell r="S254">
            <v>108170</v>
          </cell>
          <cell r="T254">
            <v>108170</v>
          </cell>
          <cell r="U254">
            <v>108140</v>
          </cell>
          <cell r="V254">
            <v>108140</v>
          </cell>
          <cell r="W254">
            <v>114630</v>
          </cell>
          <cell r="X254">
            <v>114700</v>
          </cell>
          <cell r="Y254">
            <v>114630</v>
          </cell>
          <cell r="Z254">
            <v>114660</v>
          </cell>
          <cell r="AA254">
            <v>109900</v>
          </cell>
          <cell r="AB254">
            <v>109900</v>
          </cell>
          <cell r="AC254">
            <v>109840</v>
          </cell>
          <cell r="AD254">
            <v>109870</v>
          </cell>
          <cell r="AE254">
            <v>111640</v>
          </cell>
          <cell r="AF254">
            <v>111640</v>
          </cell>
          <cell r="AG254">
            <v>111590</v>
          </cell>
          <cell r="AH254">
            <v>111630</v>
          </cell>
        </row>
        <row r="255">
          <cell r="S255">
            <v>108130</v>
          </cell>
          <cell r="T255">
            <v>108130</v>
          </cell>
          <cell r="U255">
            <v>108130</v>
          </cell>
          <cell r="V255">
            <v>108130</v>
          </cell>
          <cell r="W255">
            <v>114660</v>
          </cell>
          <cell r="X255">
            <v>114710</v>
          </cell>
          <cell r="Y255">
            <v>114650</v>
          </cell>
          <cell r="Z255">
            <v>114670</v>
          </cell>
          <cell r="AA255">
            <v>109860</v>
          </cell>
          <cell r="AB255">
            <v>109900</v>
          </cell>
          <cell r="AC255">
            <v>109860</v>
          </cell>
          <cell r="AD255">
            <v>109880</v>
          </cell>
          <cell r="AE255">
            <v>111620</v>
          </cell>
          <cell r="AF255">
            <v>111640</v>
          </cell>
          <cell r="AG255">
            <v>111560</v>
          </cell>
          <cell r="AH255">
            <v>111580</v>
          </cell>
        </row>
        <row r="256">
          <cell r="S256">
            <v>108140</v>
          </cell>
          <cell r="T256">
            <v>108140</v>
          </cell>
          <cell r="U256">
            <v>108100</v>
          </cell>
          <cell r="V256">
            <v>108100</v>
          </cell>
          <cell r="W256">
            <v>114670</v>
          </cell>
          <cell r="X256">
            <v>114720</v>
          </cell>
          <cell r="Y256">
            <v>114650</v>
          </cell>
          <cell r="Z256">
            <v>114650</v>
          </cell>
          <cell r="AA256">
            <v>109880</v>
          </cell>
          <cell r="AB256">
            <v>109880</v>
          </cell>
          <cell r="AC256">
            <v>109820</v>
          </cell>
          <cell r="AD256">
            <v>109820</v>
          </cell>
          <cell r="AE256">
            <v>111580</v>
          </cell>
          <cell r="AF256">
            <v>111590</v>
          </cell>
          <cell r="AG256">
            <v>111530</v>
          </cell>
          <cell r="AH256">
            <v>111540</v>
          </cell>
        </row>
        <row r="257">
          <cell r="S257">
            <v>108120</v>
          </cell>
          <cell r="T257">
            <v>108120</v>
          </cell>
          <cell r="U257">
            <v>108080</v>
          </cell>
          <cell r="V257">
            <v>108110</v>
          </cell>
          <cell r="W257">
            <v>114650</v>
          </cell>
          <cell r="X257">
            <v>114700</v>
          </cell>
          <cell r="Y257">
            <v>114650</v>
          </cell>
          <cell r="Z257">
            <v>114700</v>
          </cell>
          <cell r="AA257">
            <v>109830</v>
          </cell>
          <cell r="AB257">
            <v>109900</v>
          </cell>
          <cell r="AC257">
            <v>109820</v>
          </cell>
          <cell r="AD257">
            <v>109860</v>
          </cell>
          <cell r="AE257">
            <v>111530</v>
          </cell>
          <cell r="AF257">
            <v>111540</v>
          </cell>
          <cell r="AG257">
            <v>111410</v>
          </cell>
          <cell r="AH257">
            <v>111420</v>
          </cell>
        </row>
        <row r="258">
          <cell r="S258">
            <v>108080</v>
          </cell>
          <cell r="T258">
            <v>108120</v>
          </cell>
          <cell r="U258">
            <v>108050</v>
          </cell>
          <cell r="V258">
            <v>108120</v>
          </cell>
          <cell r="W258">
            <v>114700</v>
          </cell>
          <cell r="X258">
            <v>114710</v>
          </cell>
          <cell r="Y258">
            <v>114600</v>
          </cell>
          <cell r="Z258">
            <v>114620</v>
          </cell>
          <cell r="AA258">
            <v>109850</v>
          </cell>
          <cell r="AB258">
            <v>109850</v>
          </cell>
          <cell r="AC258">
            <v>109770</v>
          </cell>
          <cell r="AD258">
            <v>109820</v>
          </cell>
          <cell r="AE258">
            <v>111440</v>
          </cell>
          <cell r="AF258">
            <v>111440</v>
          </cell>
          <cell r="AG258">
            <v>111350</v>
          </cell>
          <cell r="AH258">
            <v>111350</v>
          </cell>
        </row>
        <row r="259">
          <cell r="S259">
            <v>108110</v>
          </cell>
          <cell r="T259">
            <v>108150</v>
          </cell>
          <cell r="U259">
            <v>108110</v>
          </cell>
          <cell r="V259">
            <v>108150</v>
          </cell>
          <cell r="W259">
            <v>114620</v>
          </cell>
          <cell r="X259">
            <v>114650</v>
          </cell>
          <cell r="Y259">
            <v>114560</v>
          </cell>
          <cell r="Z259">
            <v>114560</v>
          </cell>
          <cell r="AA259">
            <v>109820</v>
          </cell>
          <cell r="AB259">
            <v>109850</v>
          </cell>
          <cell r="AC259">
            <v>109790</v>
          </cell>
          <cell r="AD259">
            <v>109800</v>
          </cell>
          <cell r="AE259">
            <v>111350</v>
          </cell>
          <cell r="AF259">
            <v>111400</v>
          </cell>
          <cell r="AG259">
            <v>111330</v>
          </cell>
          <cell r="AH259">
            <v>111400</v>
          </cell>
        </row>
        <row r="260">
          <cell r="S260">
            <v>108180</v>
          </cell>
          <cell r="T260">
            <v>108210</v>
          </cell>
          <cell r="U260">
            <v>108170</v>
          </cell>
          <cell r="V260">
            <v>108210</v>
          </cell>
          <cell r="W260">
            <v>114570</v>
          </cell>
          <cell r="X260">
            <v>114570</v>
          </cell>
          <cell r="Y260">
            <v>114440</v>
          </cell>
          <cell r="Z260">
            <v>114460</v>
          </cell>
          <cell r="AA260">
            <v>109810</v>
          </cell>
          <cell r="AB260">
            <v>109840</v>
          </cell>
          <cell r="AC260">
            <v>109780</v>
          </cell>
          <cell r="AD260">
            <v>109800</v>
          </cell>
          <cell r="AE260">
            <v>111400</v>
          </cell>
          <cell r="AF260">
            <v>111470</v>
          </cell>
          <cell r="AG260">
            <v>111380</v>
          </cell>
          <cell r="AH260">
            <v>111420</v>
          </cell>
        </row>
        <row r="261">
          <cell r="S261">
            <v>108200</v>
          </cell>
          <cell r="T261">
            <v>108200</v>
          </cell>
          <cell r="U261">
            <v>108200</v>
          </cell>
          <cell r="V261">
            <v>108200</v>
          </cell>
          <cell r="W261">
            <v>114460</v>
          </cell>
          <cell r="X261">
            <v>114570</v>
          </cell>
          <cell r="Y261">
            <v>114440</v>
          </cell>
          <cell r="Z261">
            <v>114560</v>
          </cell>
          <cell r="AA261">
            <v>109800</v>
          </cell>
          <cell r="AB261">
            <v>109810</v>
          </cell>
          <cell r="AC261">
            <v>109620</v>
          </cell>
          <cell r="AD261">
            <v>109630</v>
          </cell>
          <cell r="AE261">
            <v>111420</v>
          </cell>
          <cell r="AF261">
            <v>111420</v>
          </cell>
          <cell r="AG261">
            <v>111360</v>
          </cell>
          <cell r="AH261">
            <v>111390</v>
          </cell>
        </row>
        <row r="262">
          <cell r="S262">
            <v>108180</v>
          </cell>
          <cell r="T262">
            <v>108180</v>
          </cell>
          <cell r="U262">
            <v>108150</v>
          </cell>
          <cell r="V262">
            <v>108150</v>
          </cell>
          <cell r="W262">
            <v>114550</v>
          </cell>
          <cell r="X262">
            <v>114550</v>
          </cell>
          <cell r="Y262">
            <v>114500</v>
          </cell>
          <cell r="Z262">
            <v>114510</v>
          </cell>
          <cell r="AA262">
            <v>109630</v>
          </cell>
          <cell r="AB262">
            <v>109740</v>
          </cell>
          <cell r="AC262">
            <v>109620</v>
          </cell>
          <cell r="AD262">
            <v>109690</v>
          </cell>
          <cell r="AE262">
            <v>111390</v>
          </cell>
          <cell r="AF262">
            <v>111410</v>
          </cell>
          <cell r="AG262">
            <v>111340</v>
          </cell>
          <cell r="AH262">
            <v>111400</v>
          </cell>
        </row>
        <row r="263">
          <cell r="S263">
            <v>108150</v>
          </cell>
          <cell r="T263">
            <v>108150</v>
          </cell>
          <cell r="U263">
            <v>108110</v>
          </cell>
          <cell r="V263">
            <v>108110</v>
          </cell>
          <cell r="W263">
            <v>114500</v>
          </cell>
          <cell r="X263">
            <v>114510</v>
          </cell>
          <cell r="Y263">
            <v>114430</v>
          </cell>
          <cell r="Z263">
            <v>114490</v>
          </cell>
          <cell r="AA263">
            <v>109680</v>
          </cell>
          <cell r="AB263">
            <v>109730</v>
          </cell>
          <cell r="AC263">
            <v>109650</v>
          </cell>
          <cell r="AD263">
            <v>109660</v>
          </cell>
          <cell r="AE263">
            <v>111380</v>
          </cell>
          <cell r="AF263">
            <v>111440</v>
          </cell>
          <cell r="AG263">
            <v>111350</v>
          </cell>
          <cell r="AH263">
            <v>111410</v>
          </cell>
        </row>
        <row r="264">
          <cell r="S264">
            <v>108190</v>
          </cell>
          <cell r="T264">
            <v>108220</v>
          </cell>
          <cell r="U264">
            <v>108190</v>
          </cell>
          <cell r="V264">
            <v>108220</v>
          </cell>
          <cell r="W264">
            <v>114480</v>
          </cell>
          <cell r="X264">
            <v>114530</v>
          </cell>
          <cell r="Y264">
            <v>114470</v>
          </cell>
          <cell r="Z264">
            <v>114480</v>
          </cell>
          <cell r="AA264">
            <v>109660</v>
          </cell>
          <cell r="AB264">
            <v>109700</v>
          </cell>
          <cell r="AC264">
            <v>109640</v>
          </cell>
          <cell r="AD264">
            <v>109660</v>
          </cell>
          <cell r="AE264">
            <v>111410</v>
          </cell>
          <cell r="AF264">
            <v>111440</v>
          </cell>
          <cell r="AG264">
            <v>111390</v>
          </cell>
          <cell r="AH264">
            <v>111390</v>
          </cell>
        </row>
        <row r="265">
          <cell r="S265">
            <v>108230</v>
          </cell>
          <cell r="T265">
            <v>108250</v>
          </cell>
          <cell r="U265">
            <v>108190</v>
          </cell>
          <cell r="V265">
            <v>108210</v>
          </cell>
          <cell r="W265">
            <v>114490</v>
          </cell>
          <cell r="X265">
            <v>114550</v>
          </cell>
          <cell r="Y265">
            <v>114480</v>
          </cell>
          <cell r="Z265">
            <v>114510</v>
          </cell>
          <cell r="AA265">
            <v>109670</v>
          </cell>
          <cell r="AB265">
            <v>109700</v>
          </cell>
          <cell r="AC265">
            <v>109650</v>
          </cell>
          <cell r="AD265">
            <v>109700</v>
          </cell>
          <cell r="AE265">
            <v>111410</v>
          </cell>
          <cell r="AF265">
            <v>111440</v>
          </cell>
          <cell r="AG265">
            <v>111380</v>
          </cell>
          <cell r="AH265">
            <v>111410</v>
          </cell>
        </row>
        <row r="266">
          <cell r="S266">
            <v>108180</v>
          </cell>
          <cell r="T266">
            <v>108190</v>
          </cell>
          <cell r="U266">
            <v>108170</v>
          </cell>
          <cell r="V266">
            <v>108190</v>
          </cell>
          <cell r="W266">
            <v>114510</v>
          </cell>
          <cell r="X266">
            <v>114520</v>
          </cell>
          <cell r="Y266">
            <v>114370</v>
          </cell>
          <cell r="Z266">
            <v>114390</v>
          </cell>
          <cell r="AA266">
            <v>109700</v>
          </cell>
          <cell r="AB266">
            <v>109740</v>
          </cell>
          <cell r="AC266">
            <v>109670</v>
          </cell>
          <cell r="AD266">
            <v>109720</v>
          </cell>
          <cell r="AE266">
            <v>111400</v>
          </cell>
          <cell r="AF266">
            <v>111410</v>
          </cell>
          <cell r="AG266">
            <v>111370</v>
          </cell>
          <cell r="AH266">
            <v>111390</v>
          </cell>
        </row>
        <row r="267">
          <cell r="S267">
            <v>108150</v>
          </cell>
          <cell r="T267">
            <v>108180</v>
          </cell>
          <cell r="U267">
            <v>108150</v>
          </cell>
          <cell r="V267">
            <v>108180</v>
          </cell>
          <cell r="W267">
            <v>114400</v>
          </cell>
          <cell r="X267">
            <v>114420</v>
          </cell>
          <cell r="Y267">
            <v>114300</v>
          </cell>
          <cell r="Z267">
            <v>114390</v>
          </cell>
          <cell r="AA267">
            <v>109720</v>
          </cell>
          <cell r="AB267">
            <v>109750</v>
          </cell>
          <cell r="AC267">
            <v>109670</v>
          </cell>
          <cell r="AD267">
            <v>109740</v>
          </cell>
          <cell r="AE267">
            <v>111370</v>
          </cell>
          <cell r="AF267">
            <v>111440</v>
          </cell>
          <cell r="AG267">
            <v>111350</v>
          </cell>
          <cell r="AH267">
            <v>111430</v>
          </cell>
        </row>
        <row r="268">
          <cell r="S268">
            <v>108180</v>
          </cell>
          <cell r="T268">
            <v>108180</v>
          </cell>
          <cell r="U268">
            <v>108180</v>
          </cell>
          <cell r="V268">
            <v>108180</v>
          </cell>
          <cell r="W268">
            <v>114380</v>
          </cell>
          <cell r="X268">
            <v>114430</v>
          </cell>
          <cell r="Y268">
            <v>114370</v>
          </cell>
          <cell r="Z268">
            <v>114430</v>
          </cell>
          <cell r="AA268">
            <v>109730</v>
          </cell>
          <cell r="AB268">
            <v>109810</v>
          </cell>
          <cell r="AC268">
            <v>109710</v>
          </cell>
          <cell r="AD268">
            <v>109810</v>
          </cell>
          <cell r="AE268">
            <v>111430</v>
          </cell>
          <cell r="AF268">
            <v>111470</v>
          </cell>
          <cell r="AG268">
            <v>111380</v>
          </cell>
          <cell r="AH268">
            <v>111390</v>
          </cell>
        </row>
        <row r="269">
          <cell r="S269">
            <v>108190</v>
          </cell>
          <cell r="T269">
            <v>108220</v>
          </cell>
          <cell r="U269">
            <v>108170</v>
          </cell>
          <cell r="V269">
            <v>108170</v>
          </cell>
          <cell r="W269">
            <v>114420</v>
          </cell>
          <cell r="X269">
            <v>114460</v>
          </cell>
          <cell r="Y269">
            <v>114410</v>
          </cell>
          <cell r="Z269">
            <v>114450</v>
          </cell>
          <cell r="AA269">
            <v>109800</v>
          </cell>
          <cell r="AB269">
            <v>109820</v>
          </cell>
          <cell r="AC269">
            <v>109770</v>
          </cell>
          <cell r="AD269">
            <v>109810</v>
          </cell>
          <cell r="AE269">
            <v>111390</v>
          </cell>
          <cell r="AF269">
            <v>111400</v>
          </cell>
          <cell r="AG269">
            <v>111360</v>
          </cell>
          <cell r="AH269">
            <v>111370</v>
          </cell>
        </row>
        <row r="270">
          <cell r="S270">
            <v>108140</v>
          </cell>
          <cell r="T270">
            <v>108160</v>
          </cell>
          <cell r="U270">
            <v>108140</v>
          </cell>
          <cell r="V270">
            <v>108140</v>
          </cell>
          <cell r="W270">
            <v>114450</v>
          </cell>
          <cell r="X270">
            <v>114450</v>
          </cell>
          <cell r="Y270">
            <v>114390</v>
          </cell>
          <cell r="Z270">
            <v>114410</v>
          </cell>
          <cell r="AA270">
            <v>109810</v>
          </cell>
          <cell r="AB270">
            <v>109870</v>
          </cell>
          <cell r="AC270">
            <v>109810</v>
          </cell>
          <cell r="AD270">
            <v>109850</v>
          </cell>
          <cell r="AE270">
            <v>111370</v>
          </cell>
          <cell r="AF270">
            <v>111380</v>
          </cell>
          <cell r="AG270">
            <v>111310</v>
          </cell>
          <cell r="AH270">
            <v>111380</v>
          </cell>
        </row>
        <row r="271">
          <cell r="S271">
            <v>108140</v>
          </cell>
          <cell r="T271">
            <v>108150</v>
          </cell>
          <cell r="U271">
            <v>108140</v>
          </cell>
          <cell r="V271">
            <v>108150</v>
          </cell>
          <cell r="W271">
            <v>114410</v>
          </cell>
          <cell r="X271">
            <v>114420</v>
          </cell>
          <cell r="Y271">
            <v>114250</v>
          </cell>
          <cell r="Z271">
            <v>114300</v>
          </cell>
          <cell r="AA271">
            <v>109850</v>
          </cell>
          <cell r="AB271">
            <v>109950</v>
          </cell>
          <cell r="AC271">
            <v>109830</v>
          </cell>
          <cell r="AD271">
            <v>109930</v>
          </cell>
          <cell r="AE271">
            <v>111370</v>
          </cell>
          <cell r="AF271">
            <v>111390</v>
          </cell>
          <cell r="AG271">
            <v>111330</v>
          </cell>
          <cell r="AH271">
            <v>111330</v>
          </cell>
        </row>
        <row r="272">
          <cell r="S272">
            <v>108150</v>
          </cell>
          <cell r="T272">
            <v>108150</v>
          </cell>
          <cell r="U272">
            <v>108130</v>
          </cell>
          <cell r="V272">
            <v>108130</v>
          </cell>
          <cell r="W272">
            <v>114290</v>
          </cell>
          <cell r="X272">
            <v>114370</v>
          </cell>
          <cell r="Y272">
            <v>114260</v>
          </cell>
          <cell r="Z272">
            <v>114360</v>
          </cell>
          <cell r="AA272">
            <v>109930</v>
          </cell>
          <cell r="AB272">
            <v>109940</v>
          </cell>
          <cell r="AC272">
            <v>109840</v>
          </cell>
          <cell r="AD272">
            <v>109860</v>
          </cell>
          <cell r="AE272">
            <v>111330</v>
          </cell>
          <cell r="AF272">
            <v>111350</v>
          </cell>
          <cell r="AG272">
            <v>111300</v>
          </cell>
          <cell r="AH272">
            <v>111310</v>
          </cell>
        </row>
        <row r="273">
          <cell r="S273">
            <v>108110</v>
          </cell>
          <cell r="T273">
            <v>108130</v>
          </cell>
          <cell r="U273">
            <v>108110</v>
          </cell>
          <cell r="V273">
            <v>108130</v>
          </cell>
          <cell r="W273">
            <v>114360</v>
          </cell>
          <cell r="X273">
            <v>114380</v>
          </cell>
          <cell r="Y273">
            <v>114340</v>
          </cell>
          <cell r="Z273">
            <v>114370</v>
          </cell>
          <cell r="AA273">
            <v>109870</v>
          </cell>
          <cell r="AB273">
            <v>109890</v>
          </cell>
          <cell r="AC273">
            <v>109830</v>
          </cell>
          <cell r="AD273">
            <v>109870</v>
          </cell>
          <cell r="AE273">
            <v>111310</v>
          </cell>
          <cell r="AF273">
            <v>111360</v>
          </cell>
          <cell r="AG273">
            <v>111300</v>
          </cell>
          <cell r="AH273">
            <v>111330</v>
          </cell>
        </row>
        <row r="274">
          <cell r="S274">
            <v>108190</v>
          </cell>
          <cell r="T274">
            <v>108200</v>
          </cell>
          <cell r="U274">
            <v>108150</v>
          </cell>
          <cell r="V274">
            <v>108150</v>
          </cell>
          <cell r="W274">
            <v>114370</v>
          </cell>
          <cell r="X274">
            <v>114380</v>
          </cell>
          <cell r="Y274">
            <v>114330</v>
          </cell>
          <cell r="Z274">
            <v>114360</v>
          </cell>
          <cell r="AA274">
            <v>109870</v>
          </cell>
          <cell r="AB274">
            <v>109880</v>
          </cell>
          <cell r="AC274">
            <v>109830</v>
          </cell>
          <cell r="AD274">
            <v>109830</v>
          </cell>
          <cell r="AE274">
            <v>111330</v>
          </cell>
          <cell r="AF274">
            <v>111350</v>
          </cell>
          <cell r="AG274">
            <v>111310</v>
          </cell>
          <cell r="AH274">
            <v>111350</v>
          </cell>
        </row>
        <row r="275">
          <cell r="S275">
            <v>108160</v>
          </cell>
          <cell r="T275">
            <v>108160</v>
          </cell>
          <cell r="U275">
            <v>108140</v>
          </cell>
          <cell r="V275">
            <v>108140</v>
          </cell>
          <cell r="W275">
            <v>114370</v>
          </cell>
          <cell r="X275">
            <v>114400</v>
          </cell>
          <cell r="Y275">
            <v>114370</v>
          </cell>
          <cell r="Z275">
            <v>114400</v>
          </cell>
          <cell r="AA275">
            <v>109830</v>
          </cell>
          <cell r="AB275">
            <v>109900</v>
          </cell>
          <cell r="AC275">
            <v>109820</v>
          </cell>
          <cell r="AD275">
            <v>109880</v>
          </cell>
          <cell r="AE275">
            <v>111330</v>
          </cell>
          <cell r="AF275">
            <v>111350</v>
          </cell>
          <cell r="AG275">
            <v>111310</v>
          </cell>
          <cell r="AH275">
            <v>111350</v>
          </cell>
        </row>
        <row r="276">
          <cell r="S276">
            <v>108140</v>
          </cell>
          <cell r="T276">
            <v>108160</v>
          </cell>
          <cell r="U276">
            <v>108120</v>
          </cell>
          <cell r="V276">
            <v>108160</v>
          </cell>
          <cell r="W276">
            <v>114390</v>
          </cell>
          <cell r="X276">
            <v>114400</v>
          </cell>
          <cell r="Y276">
            <v>114350</v>
          </cell>
          <cell r="Z276">
            <v>114380</v>
          </cell>
          <cell r="AA276">
            <v>109890</v>
          </cell>
          <cell r="AB276">
            <v>109920</v>
          </cell>
          <cell r="AC276">
            <v>109880</v>
          </cell>
          <cell r="AD276">
            <v>109920</v>
          </cell>
          <cell r="AE276">
            <v>111350</v>
          </cell>
          <cell r="AF276">
            <v>111360</v>
          </cell>
          <cell r="AG276">
            <v>111320</v>
          </cell>
          <cell r="AH276">
            <v>111360</v>
          </cell>
        </row>
        <row r="277">
          <cell r="S277">
            <v>108250</v>
          </cell>
          <cell r="T277">
            <v>108260</v>
          </cell>
          <cell r="U277">
            <v>108240</v>
          </cell>
          <cell r="V277">
            <v>108240</v>
          </cell>
          <cell r="W277">
            <v>114370</v>
          </cell>
          <cell r="X277">
            <v>114400</v>
          </cell>
          <cell r="Y277">
            <v>114320</v>
          </cell>
          <cell r="Z277">
            <v>114400</v>
          </cell>
          <cell r="AA277">
            <v>109920</v>
          </cell>
          <cell r="AB277">
            <v>109940</v>
          </cell>
          <cell r="AC277">
            <v>109870</v>
          </cell>
          <cell r="AD277">
            <v>109900</v>
          </cell>
          <cell r="AE277">
            <v>111360</v>
          </cell>
          <cell r="AF277">
            <v>111360</v>
          </cell>
          <cell r="AG277">
            <v>111280</v>
          </cell>
          <cell r="AH277">
            <v>111300</v>
          </cell>
        </row>
        <row r="278">
          <cell r="S278">
            <v>108230</v>
          </cell>
          <cell r="T278">
            <v>108240</v>
          </cell>
          <cell r="U278">
            <v>108220</v>
          </cell>
          <cell r="V278">
            <v>108230</v>
          </cell>
          <cell r="W278">
            <v>114400</v>
          </cell>
          <cell r="X278">
            <v>114420</v>
          </cell>
          <cell r="Y278">
            <v>114360</v>
          </cell>
          <cell r="Z278">
            <v>114410</v>
          </cell>
          <cell r="AA278">
            <v>109900</v>
          </cell>
          <cell r="AB278">
            <v>109950</v>
          </cell>
          <cell r="AC278">
            <v>109900</v>
          </cell>
          <cell r="AD278">
            <v>109920</v>
          </cell>
          <cell r="AE278">
            <v>111280</v>
          </cell>
          <cell r="AF278">
            <v>111340</v>
          </cell>
          <cell r="AG278">
            <v>111270</v>
          </cell>
          <cell r="AH278">
            <v>111280</v>
          </cell>
        </row>
        <row r="279">
          <cell r="S279">
            <v>108260</v>
          </cell>
          <cell r="T279">
            <v>108270</v>
          </cell>
          <cell r="U279">
            <v>108170</v>
          </cell>
          <cell r="V279">
            <v>108180</v>
          </cell>
          <cell r="W279">
            <v>114390</v>
          </cell>
          <cell r="X279">
            <v>114450</v>
          </cell>
          <cell r="Y279">
            <v>114390</v>
          </cell>
          <cell r="Z279">
            <v>114440</v>
          </cell>
          <cell r="AA279">
            <v>109920</v>
          </cell>
          <cell r="AB279">
            <v>109950</v>
          </cell>
          <cell r="AC279">
            <v>109910</v>
          </cell>
          <cell r="AD279">
            <v>109940</v>
          </cell>
          <cell r="AE279">
            <v>111270</v>
          </cell>
          <cell r="AF279">
            <v>111290</v>
          </cell>
          <cell r="AG279">
            <v>111200</v>
          </cell>
          <cell r="AH279">
            <v>111230</v>
          </cell>
        </row>
        <row r="280">
          <cell r="S280">
            <v>108160</v>
          </cell>
          <cell r="T280">
            <v>108160</v>
          </cell>
          <cell r="U280">
            <v>108140</v>
          </cell>
          <cell r="V280">
            <v>108140</v>
          </cell>
          <cell r="W280">
            <v>114440</v>
          </cell>
          <cell r="X280">
            <v>114450</v>
          </cell>
          <cell r="Y280">
            <v>114410</v>
          </cell>
          <cell r="Z280">
            <v>114430</v>
          </cell>
          <cell r="AA280">
            <v>109940</v>
          </cell>
          <cell r="AB280">
            <v>110000</v>
          </cell>
          <cell r="AC280">
            <v>109920</v>
          </cell>
          <cell r="AD280">
            <v>109980</v>
          </cell>
          <cell r="AE280">
            <v>111230</v>
          </cell>
          <cell r="AF280">
            <v>111240</v>
          </cell>
          <cell r="AG280">
            <v>111110</v>
          </cell>
          <cell r="AH280">
            <v>111130</v>
          </cell>
        </row>
        <row r="281">
          <cell r="S281">
            <v>108120</v>
          </cell>
          <cell r="T281">
            <v>108120</v>
          </cell>
          <cell r="U281">
            <v>108120</v>
          </cell>
          <cell r="V281">
            <v>108120</v>
          </cell>
          <cell r="W281">
            <v>114440</v>
          </cell>
          <cell r="X281">
            <v>114510</v>
          </cell>
          <cell r="Y281">
            <v>114430</v>
          </cell>
          <cell r="Z281">
            <v>114510</v>
          </cell>
          <cell r="AA281">
            <v>109970</v>
          </cell>
          <cell r="AB281">
            <v>110020</v>
          </cell>
          <cell r="AC281">
            <v>109960</v>
          </cell>
          <cell r="AD281">
            <v>110000</v>
          </cell>
          <cell r="AE281">
            <v>111150</v>
          </cell>
          <cell r="AF281">
            <v>111200</v>
          </cell>
          <cell r="AG281">
            <v>111040</v>
          </cell>
          <cell r="AH281">
            <v>111160</v>
          </cell>
        </row>
        <row r="282">
          <cell r="S282">
            <v>108130</v>
          </cell>
          <cell r="T282">
            <v>108130</v>
          </cell>
          <cell r="U282">
            <v>108060</v>
          </cell>
          <cell r="V282">
            <v>108120</v>
          </cell>
          <cell r="W282">
            <v>114510</v>
          </cell>
          <cell r="X282">
            <v>114550</v>
          </cell>
          <cell r="Y282">
            <v>114460</v>
          </cell>
          <cell r="Z282">
            <v>114480</v>
          </cell>
          <cell r="AA282">
            <v>110010</v>
          </cell>
          <cell r="AB282">
            <v>110040</v>
          </cell>
          <cell r="AC282">
            <v>109990</v>
          </cell>
          <cell r="AD282">
            <v>110010</v>
          </cell>
          <cell r="AE282">
            <v>111160</v>
          </cell>
          <cell r="AF282">
            <v>111190</v>
          </cell>
          <cell r="AG282">
            <v>111110</v>
          </cell>
          <cell r="AH282">
            <v>111190</v>
          </cell>
        </row>
        <row r="283">
          <cell r="S283">
            <v>108130</v>
          </cell>
          <cell r="T283">
            <v>108130</v>
          </cell>
          <cell r="U283">
            <v>108130</v>
          </cell>
          <cell r="V283">
            <v>108130</v>
          </cell>
          <cell r="W283">
            <v>114470</v>
          </cell>
          <cell r="X283">
            <v>114500</v>
          </cell>
          <cell r="Y283">
            <v>114450</v>
          </cell>
          <cell r="Z283">
            <v>114450</v>
          </cell>
          <cell r="AA283">
            <v>110000</v>
          </cell>
          <cell r="AB283">
            <v>110100</v>
          </cell>
          <cell r="AC283">
            <v>109990</v>
          </cell>
          <cell r="AD283">
            <v>109990</v>
          </cell>
          <cell r="AE283">
            <v>111190</v>
          </cell>
          <cell r="AF283">
            <v>111300</v>
          </cell>
          <cell r="AG283">
            <v>111170</v>
          </cell>
          <cell r="AH283">
            <v>111270</v>
          </cell>
        </row>
        <row r="284">
          <cell r="S284">
            <v>108150</v>
          </cell>
          <cell r="T284">
            <v>108150</v>
          </cell>
          <cell r="U284">
            <v>108100</v>
          </cell>
          <cell r="V284">
            <v>108100</v>
          </cell>
          <cell r="W284">
            <v>114450</v>
          </cell>
          <cell r="X284">
            <v>114470</v>
          </cell>
          <cell r="Y284">
            <v>114400</v>
          </cell>
          <cell r="Z284">
            <v>114400</v>
          </cell>
          <cell r="AA284">
            <v>109990</v>
          </cell>
          <cell r="AB284">
            <v>110010</v>
          </cell>
          <cell r="AC284">
            <v>109900</v>
          </cell>
          <cell r="AD284">
            <v>110010</v>
          </cell>
          <cell r="AE284">
            <v>111290</v>
          </cell>
          <cell r="AF284">
            <v>111300</v>
          </cell>
          <cell r="AG284">
            <v>111230</v>
          </cell>
          <cell r="AH284">
            <v>111230</v>
          </cell>
        </row>
        <row r="285">
          <cell r="S285">
            <v>108100</v>
          </cell>
          <cell r="T285">
            <v>108100</v>
          </cell>
          <cell r="U285">
            <v>108100</v>
          </cell>
          <cell r="V285">
            <v>108100</v>
          </cell>
          <cell r="W285">
            <v>114400</v>
          </cell>
          <cell r="X285">
            <v>114410</v>
          </cell>
          <cell r="Y285">
            <v>114370</v>
          </cell>
          <cell r="Z285">
            <v>114390</v>
          </cell>
          <cell r="AA285">
            <v>110010</v>
          </cell>
          <cell r="AB285">
            <v>110030</v>
          </cell>
          <cell r="AC285">
            <v>109940</v>
          </cell>
          <cell r="AD285">
            <v>109950</v>
          </cell>
          <cell r="AE285">
            <v>111240</v>
          </cell>
          <cell r="AF285">
            <v>111350</v>
          </cell>
          <cell r="AG285">
            <v>111240</v>
          </cell>
          <cell r="AH285">
            <v>111320</v>
          </cell>
        </row>
        <row r="286">
          <cell r="S286">
            <v>108080</v>
          </cell>
          <cell r="T286">
            <v>108120</v>
          </cell>
          <cell r="U286">
            <v>108080</v>
          </cell>
          <cell r="V286">
            <v>108120</v>
          </cell>
          <cell r="W286">
            <v>114380</v>
          </cell>
          <cell r="X286">
            <v>114420</v>
          </cell>
          <cell r="Y286">
            <v>114370</v>
          </cell>
          <cell r="Z286">
            <v>114390</v>
          </cell>
          <cell r="AA286">
            <v>109970</v>
          </cell>
          <cell r="AB286">
            <v>110000</v>
          </cell>
          <cell r="AC286">
            <v>109950</v>
          </cell>
          <cell r="AD286">
            <v>109980</v>
          </cell>
          <cell r="AE286">
            <v>111320</v>
          </cell>
          <cell r="AF286">
            <v>111320</v>
          </cell>
          <cell r="AG286">
            <v>111250</v>
          </cell>
          <cell r="AH286">
            <v>111260</v>
          </cell>
        </row>
        <row r="287">
          <cell r="S287">
            <v>108110</v>
          </cell>
          <cell r="T287">
            <v>108110</v>
          </cell>
          <cell r="U287">
            <v>108090</v>
          </cell>
          <cell r="V287">
            <v>108090</v>
          </cell>
          <cell r="W287">
            <v>114390</v>
          </cell>
          <cell r="X287">
            <v>114420</v>
          </cell>
          <cell r="Y287">
            <v>114360</v>
          </cell>
          <cell r="Z287">
            <v>114400</v>
          </cell>
          <cell r="AA287">
            <v>109970</v>
          </cell>
          <cell r="AB287">
            <v>109980</v>
          </cell>
          <cell r="AC287">
            <v>109840</v>
          </cell>
          <cell r="AD287">
            <v>109870</v>
          </cell>
          <cell r="AE287">
            <v>111270</v>
          </cell>
          <cell r="AF287">
            <v>111290</v>
          </cell>
          <cell r="AG287">
            <v>111250</v>
          </cell>
          <cell r="AH287">
            <v>111260</v>
          </cell>
        </row>
        <row r="288">
          <cell r="S288">
            <v>108080</v>
          </cell>
          <cell r="T288">
            <v>108090</v>
          </cell>
          <cell r="U288">
            <v>108080</v>
          </cell>
          <cell r="V288">
            <v>108090</v>
          </cell>
          <cell r="W288">
            <v>114400</v>
          </cell>
          <cell r="X288">
            <v>114430</v>
          </cell>
          <cell r="Y288">
            <v>114350</v>
          </cell>
          <cell r="Z288">
            <v>114360</v>
          </cell>
          <cell r="AA288">
            <v>109870</v>
          </cell>
          <cell r="AB288">
            <v>109880</v>
          </cell>
          <cell r="AC288">
            <v>109850</v>
          </cell>
          <cell r="AD288">
            <v>109870</v>
          </cell>
          <cell r="AE288">
            <v>111260</v>
          </cell>
          <cell r="AF288">
            <v>111280</v>
          </cell>
          <cell r="AG288">
            <v>111230</v>
          </cell>
          <cell r="AH288">
            <v>111280</v>
          </cell>
        </row>
        <row r="289">
          <cell r="S289">
            <v>108100</v>
          </cell>
          <cell r="T289">
            <v>108130</v>
          </cell>
          <cell r="U289">
            <v>108100</v>
          </cell>
          <cell r="V289">
            <v>108100</v>
          </cell>
          <cell r="W289">
            <v>114370</v>
          </cell>
          <cell r="X289">
            <v>114440</v>
          </cell>
          <cell r="Y289">
            <v>114370</v>
          </cell>
          <cell r="Z289">
            <v>114420</v>
          </cell>
          <cell r="AA289">
            <v>109870</v>
          </cell>
          <cell r="AB289">
            <v>109900</v>
          </cell>
          <cell r="AC289">
            <v>109820</v>
          </cell>
          <cell r="AD289">
            <v>109870</v>
          </cell>
          <cell r="AE289">
            <v>111280</v>
          </cell>
          <cell r="AF289">
            <v>111320</v>
          </cell>
          <cell r="AG289">
            <v>111250</v>
          </cell>
          <cell r="AH289">
            <v>111320</v>
          </cell>
        </row>
        <row r="290">
          <cell r="S290">
            <v>108120</v>
          </cell>
          <cell r="T290">
            <v>108130</v>
          </cell>
          <cell r="U290">
            <v>108120</v>
          </cell>
          <cell r="V290">
            <v>108130</v>
          </cell>
          <cell r="W290">
            <v>114430</v>
          </cell>
          <cell r="X290">
            <v>114490</v>
          </cell>
          <cell r="Y290">
            <v>114430</v>
          </cell>
          <cell r="Z290">
            <v>114470</v>
          </cell>
          <cell r="AA290">
            <v>109860</v>
          </cell>
          <cell r="AB290">
            <v>109860</v>
          </cell>
          <cell r="AC290">
            <v>109800</v>
          </cell>
          <cell r="AD290">
            <v>109820</v>
          </cell>
          <cell r="AE290">
            <v>111320</v>
          </cell>
          <cell r="AF290">
            <v>111330</v>
          </cell>
          <cell r="AG290">
            <v>111240</v>
          </cell>
          <cell r="AH290">
            <v>111270</v>
          </cell>
        </row>
        <row r="291">
          <cell r="S291">
            <v>108110</v>
          </cell>
          <cell r="T291">
            <v>108110</v>
          </cell>
          <cell r="U291">
            <v>108110</v>
          </cell>
          <cell r="V291">
            <v>108110</v>
          </cell>
          <cell r="W291">
            <v>114480</v>
          </cell>
          <cell r="X291">
            <v>114480</v>
          </cell>
          <cell r="Y291">
            <v>114430</v>
          </cell>
          <cell r="Z291">
            <v>114450</v>
          </cell>
          <cell r="AA291">
            <v>109820</v>
          </cell>
          <cell r="AB291">
            <v>109850</v>
          </cell>
          <cell r="AC291">
            <v>109800</v>
          </cell>
          <cell r="AD291">
            <v>109830</v>
          </cell>
          <cell r="AE291">
            <v>111260</v>
          </cell>
          <cell r="AF291">
            <v>111260</v>
          </cell>
          <cell r="AG291">
            <v>111240</v>
          </cell>
          <cell r="AH291">
            <v>111240</v>
          </cell>
        </row>
        <row r="292">
          <cell r="S292">
            <v>108140</v>
          </cell>
          <cell r="T292">
            <v>108150</v>
          </cell>
          <cell r="U292">
            <v>108140</v>
          </cell>
          <cell r="V292">
            <v>108150</v>
          </cell>
          <cell r="W292">
            <v>114460</v>
          </cell>
          <cell r="X292">
            <v>114470</v>
          </cell>
          <cell r="Y292">
            <v>114390</v>
          </cell>
          <cell r="Z292">
            <v>114440</v>
          </cell>
          <cell r="AA292">
            <v>109840</v>
          </cell>
          <cell r="AB292">
            <v>109870</v>
          </cell>
          <cell r="AC292">
            <v>109800</v>
          </cell>
          <cell r="AD292">
            <v>109870</v>
          </cell>
          <cell r="AE292">
            <v>111240</v>
          </cell>
          <cell r="AF292">
            <v>111240</v>
          </cell>
          <cell r="AG292">
            <v>111160</v>
          </cell>
          <cell r="AH292">
            <v>111230</v>
          </cell>
        </row>
        <row r="293">
          <cell r="S293">
            <v>108140</v>
          </cell>
          <cell r="T293">
            <v>108140</v>
          </cell>
          <cell r="U293">
            <v>108090</v>
          </cell>
          <cell r="V293">
            <v>108090</v>
          </cell>
          <cell r="W293">
            <v>114440</v>
          </cell>
          <cell r="X293">
            <v>114490</v>
          </cell>
          <cell r="Y293">
            <v>114440</v>
          </cell>
          <cell r="Z293">
            <v>114490</v>
          </cell>
          <cell r="AA293">
            <v>109870</v>
          </cell>
          <cell r="AB293">
            <v>109870</v>
          </cell>
          <cell r="AC293">
            <v>109780</v>
          </cell>
          <cell r="AD293">
            <v>109820</v>
          </cell>
          <cell r="AE293">
            <v>111220</v>
          </cell>
          <cell r="AF293">
            <v>111310</v>
          </cell>
          <cell r="AG293">
            <v>111220</v>
          </cell>
          <cell r="AH293">
            <v>111290</v>
          </cell>
        </row>
        <row r="294">
          <cell r="S294">
            <v>108140</v>
          </cell>
          <cell r="T294">
            <v>108140</v>
          </cell>
          <cell r="U294">
            <v>108140</v>
          </cell>
          <cell r="V294">
            <v>108140</v>
          </cell>
          <cell r="W294">
            <v>114480</v>
          </cell>
          <cell r="X294">
            <v>114590</v>
          </cell>
          <cell r="Y294">
            <v>114480</v>
          </cell>
          <cell r="Z294">
            <v>114560</v>
          </cell>
          <cell r="AA294">
            <v>109820</v>
          </cell>
          <cell r="AB294">
            <v>109830</v>
          </cell>
          <cell r="AC294">
            <v>109720</v>
          </cell>
          <cell r="AD294">
            <v>109760</v>
          </cell>
          <cell r="AE294">
            <v>111300</v>
          </cell>
          <cell r="AF294">
            <v>111350</v>
          </cell>
          <cell r="AG294">
            <v>111250</v>
          </cell>
          <cell r="AH294">
            <v>111250</v>
          </cell>
        </row>
        <row r="295">
          <cell r="S295">
            <v>108120</v>
          </cell>
          <cell r="T295">
            <v>108120</v>
          </cell>
          <cell r="U295">
            <v>108100</v>
          </cell>
          <cell r="V295">
            <v>108100</v>
          </cell>
          <cell r="W295">
            <v>114560</v>
          </cell>
          <cell r="X295">
            <v>114600</v>
          </cell>
          <cell r="Y295">
            <v>114540</v>
          </cell>
          <cell r="Z295">
            <v>114600</v>
          </cell>
          <cell r="AA295">
            <v>109760</v>
          </cell>
          <cell r="AB295">
            <v>109810</v>
          </cell>
          <cell r="AC295">
            <v>109720</v>
          </cell>
          <cell r="AD295">
            <v>109800</v>
          </cell>
          <cell r="AE295">
            <v>111260</v>
          </cell>
          <cell r="AF295">
            <v>111290</v>
          </cell>
          <cell r="AG295">
            <v>111220</v>
          </cell>
          <cell r="AH295">
            <v>111290</v>
          </cell>
        </row>
        <row r="296">
          <cell r="S296">
            <v>108050</v>
          </cell>
          <cell r="T296">
            <v>108050</v>
          </cell>
          <cell r="U296">
            <v>108030</v>
          </cell>
          <cell r="V296">
            <v>108030</v>
          </cell>
          <cell r="W296">
            <v>114600</v>
          </cell>
          <cell r="X296">
            <v>114650</v>
          </cell>
          <cell r="Y296">
            <v>114570</v>
          </cell>
          <cell r="Z296">
            <v>114620</v>
          </cell>
          <cell r="AA296">
            <v>109800</v>
          </cell>
          <cell r="AB296">
            <v>109800</v>
          </cell>
          <cell r="AC296">
            <v>109740</v>
          </cell>
          <cell r="AD296">
            <v>109770</v>
          </cell>
          <cell r="AE296">
            <v>111280</v>
          </cell>
          <cell r="AF296">
            <v>111290</v>
          </cell>
          <cell r="AG296">
            <v>111230</v>
          </cell>
          <cell r="AH296">
            <v>111240</v>
          </cell>
        </row>
        <row r="297">
          <cell r="S297">
            <v>108060</v>
          </cell>
          <cell r="T297">
            <v>108080</v>
          </cell>
          <cell r="U297">
            <v>108010</v>
          </cell>
          <cell r="V297">
            <v>108020</v>
          </cell>
          <cell r="W297">
            <v>114610</v>
          </cell>
          <cell r="X297">
            <v>114680</v>
          </cell>
          <cell r="Y297">
            <v>114610</v>
          </cell>
          <cell r="Z297">
            <v>114640</v>
          </cell>
          <cell r="AA297">
            <v>109770</v>
          </cell>
          <cell r="AB297">
            <v>109900</v>
          </cell>
          <cell r="AC297">
            <v>109760</v>
          </cell>
          <cell r="AD297">
            <v>109900</v>
          </cell>
          <cell r="AE297">
            <v>111260</v>
          </cell>
          <cell r="AF297">
            <v>111260</v>
          </cell>
          <cell r="AG297">
            <v>111020</v>
          </cell>
          <cell r="AH297">
            <v>111060</v>
          </cell>
        </row>
        <row r="298">
          <cell r="S298">
            <v>108030</v>
          </cell>
          <cell r="T298">
            <v>108080</v>
          </cell>
          <cell r="U298">
            <v>108030</v>
          </cell>
          <cell r="V298">
            <v>108040</v>
          </cell>
          <cell r="W298">
            <v>114650</v>
          </cell>
          <cell r="X298">
            <v>114650</v>
          </cell>
          <cell r="Y298">
            <v>114580</v>
          </cell>
          <cell r="Z298">
            <v>114600</v>
          </cell>
          <cell r="AA298">
            <v>109890</v>
          </cell>
          <cell r="AB298">
            <v>109890</v>
          </cell>
          <cell r="AC298">
            <v>109840</v>
          </cell>
          <cell r="AD298">
            <v>109880</v>
          </cell>
          <cell r="AE298">
            <v>111060</v>
          </cell>
          <cell r="AF298">
            <v>111110</v>
          </cell>
          <cell r="AG298">
            <v>111000</v>
          </cell>
          <cell r="AH298">
            <v>111080</v>
          </cell>
        </row>
        <row r="299">
          <cell r="S299">
            <v>108060</v>
          </cell>
          <cell r="T299">
            <v>108060</v>
          </cell>
          <cell r="U299">
            <v>108060</v>
          </cell>
          <cell r="V299">
            <v>108060</v>
          </cell>
          <cell r="W299">
            <v>114590</v>
          </cell>
          <cell r="X299">
            <v>114610</v>
          </cell>
          <cell r="Y299">
            <v>114550</v>
          </cell>
          <cell r="Z299">
            <v>114570</v>
          </cell>
          <cell r="AA299">
            <v>109880</v>
          </cell>
          <cell r="AB299">
            <v>109890</v>
          </cell>
          <cell r="AC299">
            <v>109810</v>
          </cell>
          <cell r="AD299">
            <v>109880</v>
          </cell>
          <cell r="AE299">
            <v>111070</v>
          </cell>
          <cell r="AF299">
            <v>111130</v>
          </cell>
          <cell r="AG299">
            <v>111060</v>
          </cell>
          <cell r="AH299">
            <v>111080</v>
          </cell>
        </row>
        <row r="300">
          <cell r="S300">
            <v>108000</v>
          </cell>
          <cell r="T300">
            <v>108000</v>
          </cell>
          <cell r="U300">
            <v>107970</v>
          </cell>
          <cell r="V300">
            <v>107970</v>
          </cell>
          <cell r="W300">
            <v>114580</v>
          </cell>
          <cell r="X300">
            <v>114600</v>
          </cell>
          <cell r="Y300">
            <v>114540</v>
          </cell>
          <cell r="Z300">
            <v>114590</v>
          </cell>
          <cell r="AA300">
            <v>109880</v>
          </cell>
          <cell r="AB300">
            <v>109890</v>
          </cell>
          <cell r="AC300">
            <v>109830</v>
          </cell>
          <cell r="AD300">
            <v>109840</v>
          </cell>
          <cell r="AE300">
            <v>111070</v>
          </cell>
          <cell r="AF300">
            <v>111150</v>
          </cell>
          <cell r="AG300">
            <v>111030</v>
          </cell>
          <cell r="AH300">
            <v>111130</v>
          </cell>
        </row>
        <row r="301">
          <cell r="S301">
            <v>107980</v>
          </cell>
          <cell r="T301">
            <v>108190</v>
          </cell>
          <cell r="U301">
            <v>107980</v>
          </cell>
          <cell r="V301">
            <v>108170</v>
          </cell>
          <cell r="W301">
            <v>114590</v>
          </cell>
          <cell r="X301">
            <v>114620</v>
          </cell>
          <cell r="Y301">
            <v>114580</v>
          </cell>
          <cell r="Z301">
            <v>114600</v>
          </cell>
          <cell r="AA301">
            <v>109850</v>
          </cell>
          <cell r="AB301">
            <v>109920</v>
          </cell>
          <cell r="AC301">
            <v>109830</v>
          </cell>
          <cell r="AD301">
            <v>109870</v>
          </cell>
          <cell r="AE301">
            <v>111130</v>
          </cell>
          <cell r="AF301">
            <v>111130</v>
          </cell>
          <cell r="AG301">
            <v>111090</v>
          </cell>
          <cell r="AH301">
            <v>111090</v>
          </cell>
        </row>
        <row r="302">
          <cell r="S302">
            <v>108090</v>
          </cell>
          <cell r="T302">
            <v>108090</v>
          </cell>
          <cell r="U302">
            <v>108090</v>
          </cell>
          <cell r="V302">
            <v>108090</v>
          </cell>
          <cell r="W302">
            <v>114600</v>
          </cell>
          <cell r="X302">
            <v>114660</v>
          </cell>
          <cell r="Y302">
            <v>114560</v>
          </cell>
          <cell r="Z302">
            <v>114660</v>
          </cell>
          <cell r="AA302">
            <v>109870</v>
          </cell>
          <cell r="AB302">
            <v>109870</v>
          </cell>
          <cell r="AC302">
            <v>109720</v>
          </cell>
          <cell r="AD302">
            <v>109740</v>
          </cell>
          <cell r="AE302">
            <v>111090</v>
          </cell>
          <cell r="AF302">
            <v>111140</v>
          </cell>
          <cell r="AG302">
            <v>111080</v>
          </cell>
          <cell r="AH302">
            <v>111120</v>
          </cell>
        </row>
        <row r="303">
          <cell r="S303">
            <v>108140</v>
          </cell>
          <cell r="T303">
            <v>108140</v>
          </cell>
          <cell r="U303">
            <v>108110</v>
          </cell>
          <cell r="V303">
            <v>108110</v>
          </cell>
          <cell r="W303">
            <v>114660</v>
          </cell>
          <cell r="X303">
            <v>114700</v>
          </cell>
          <cell r="Y303">
            <v>114620</v>
          </cell>
          <cell r="Z303">
            <v>114660</v>
          </cell>
          <cell r="AA303">
            <v>109730</v>
          </cell>
          <cell r="AB303">
            <v>109790</v>
          </cell>
          <cell r="AC303">
            <v>109730</v>
          </cell>
          <cell r="AD303">
            <v>109760</v>
          </cell>
          <cell r="AE303">
            <v>111120</v>
          </cell>
          <cell r="AF303">
            <v>111190</v>
          </cell>
          <cell r="AG303">
            <v>111110</v>
          </cell>
          <cell r="AH303">
            <v>111110</v>
          </cell>
        </row>
        <row r="304">
          <cell r="S304">
            <v>108150</v>
          </cell>
          <cell r="T304">
            <v>108150</v>
          </cell>
          <cell r="U304">
            <v>108130</v>
          </cell>
          <cell r="V304">
            <v>108130</v>
          </cell>
          <cell r="W304">
            <v>114670</v>
          </cell>
          <cell r="X304">
            <v>114670</v>
          </cell>
          <cell r="Y304">
            <v>114630</v>
          </cell>
          <cell r="Z304">
            <v>114640</v>
          </cell>
          <cell r="AA304">
            <v>109780</v>
          </cell>
          <cell r="AB304">
            <v>109820</v>
          </cell>
          <cell r="AC304">
            <v>109770</v>
          </cell>
          <cell r="AD304">
            <v>109800</v>
          </cell>
          <cell r="AE304">
            <v>111120</v>
          </cell>
          <cell r="AF304">
            <v>111170</v>
          </cell>
          <cell r="AG304">
            <v>111110</v>
          </cell>
          <cell r="AH304">
            <v>111170</v>
          </cell>
        </row>
        <row r="305">
          <cell r="S305">
            <v>108120</v>
          </cell>
          <cell r="T305">
            <v>108220</v>
          </cell>
          <cell r="U305">
            <v>108120</v>
          </cell>
          <cell r="V305">
            <v>108220</v>
          </cell>
          <cell r="W305">
            <v>114640</v>
          </cell>
          <cell r="X305">
            <v>114690</v>
          </cell>
          <cell r="Y305">
            <v>114620</v>
          </cell>
          <cell r="Z305">
            <v>114680</v>
          </cell>
          <cell r="AA305">
            <v>109780</v>
          </cell>
          <cell r="AB305">
            <v>109860</v>
          </cell>
          <cell r="AC305">
            <v>109760</v>
          </cell>
          <cell r="AD305">
            <v>109810</v>
          </cell>
          <cell r="AE305">
            <v>111170</v>
          </cell>
          <cell r="AF305">
            <v>111170</v>
          </cell>
          <cell r="AG305">
            <v>111130</v>
          </cell>
          <cell r="AH305">
            <v>111160</v>
          </cell>
        </row>
        <row r="306">
          <cell r="S306">
            <v>108220</v>
          </cell>
          <cell r="T306">
            <v>108360</v>
          </cell>
          <cell r="U306">
            <v>108220</v>
          </cell>
          <cell r="V306">
            <v>108300</v>
          </cell>
          <cell r="W306">
            <v>114660</v>
          </cell>
          <cell r="X306">
            <v>114670</v>
          </cell>
          <cell r="Y306">
            <v>114630</v>
          </cell>
          <cell r="Z306">
            <v>114630</v>
          </cell>
          <cell r="AA306">
            <v>109820</v>
          </cell>
          <cell r="AB306">
            <v>109850</v>
          </cell>
          <cell r="AC306">
            <v>109810</v>
          </cell>
          <cell r="AD306">
            <v>109810</v>
          </cell>
          <cell r="AE306">
            <v>111160</v>
          </cell>
          <cell r="AF306">
            <v>111160</v>
          </cell>
          <cell r="AG306">
            <v>111140</v>
          </cell>
          <cell r="AH306">
            <v>111150</v>
          </cell>
        </row>
        <row r="307">
          <cell r="S307">
            <v>108220</v>
          </cell>
          <cell r="T307">
            <v>108250</v>
          </cell>
          <cell r="U307">
            <v>108200</v>
          </cell>
          <cell r="V307">
            <v>108230</v>
          </cell>
          <cell r="W307">
            <v>114640</v>
          </cell>
          <cell r="X307">
            <v>114800</v>
          </cell>
          <cell r="Y307">
            <v>114640</v>
          </cell>
          <cell r="Z307">
            <v>114780</v>
          </cell>
          <cell r="AA307">
            <v>109820</v>
          </cell>
          <cell r="AB307">
            <v>109850</v>
          </cell>
          <cell r="AC307">
            <v>109780</v>
          </cell>
          <cell r="AD307">
            <v>109850</v>
          </cell>
          <cell r="AE307">
            <v>111150</v>
          </cell>
          <cell r="AF307">
            <v>111200</v>
          </cell>
          <cell r="AG307">
            <v>111120</v>
          </cell>
          <cell r="AH307">
            <v>111200</v>
          </cell>
        </row>
        <row r="308">
          <cell r="S308">
            <v>108290</v>
          </cell>
          <cell r="T308">
            <v>108290</v>
          </cell>
          <cell r="U308">
            <v>108290</v>
          </cell>
          <cell r="V308">
            <v>108290</v>
          </cell>
          <cell r="W308">
            <v>114780</v>
          </cell>
          <cell r="X308">
            <v>114840</v>
          </cell>
          <cell r="Y308">
            <v>114760</v>
          </cell>
          <cell r="Z308">
            <v>114760</v>
          </cell>
          <cell r="AA308">
            <v>109850</v>
          </cell>
          <cell r="AB308">
            <v>109850</v>
          </cell>
          <cell r="AC308">
            <v>109770</v>
          </cell>
          <cell r="AD308">
            <v>109800</v>
          </cell>
          <cell r="AE308">
            <v>111200</v>
          </cell>
          <cell r="AF308">
            <v>111240</v>
          </cell>
          <cell r="AG308">
            <v>111180</v>
          </cell>
          <cell r="AH308">
            <v>111220</v>
          </cell>
        </row>
        <row r="309">
          <cell r="S309">
            <v>108270</v>
          </cell>
          <cell r="T309">
            <v>108280</v>
          </cell>
          <cell r="U309">
            <v>108270</v>
          </cell>
          <cell r="V309">
            <v>108270</v>
          </cell>
          <cell r="W309">
            <v>114760</v>
          </cell>
          <cell r="X309">
            <v>114820</v>
          </cell>
          <cell r="Y309">
            <v>114760</v>
          </cell>
          <cell r="Z309">
            <v>114770</v>
          </cell>
          <cell r="AA309">
            <v>109790</v>
          </cell>
          <cell r="AB309">
            <v>109810</v>
          </cell>
          <cell r="AC309">
            <v>109760</v>
          </cell>
          <cell r="AD309">
            <v>109800</v>
          </cell>
          <cell r="AE309">
            <v>111220</v>
          </cell>
          <cell r="AF309">
            <v>111250</v>
          </cell>
          <cell r="AG309">
            <v>111190</v>
          </cell>
          <cell r="AH309">
            <v>111210</v>
          </cell>
        </row>
        <row r="310">
          <cell r="S310">
            <v>108250</v>
          </cell>
          <cell r="T310">
            <v>108260</v>
          </cell>
          <cell r="U310">
            <v>108210</v>
          </cell>
          <cell r="V310">
            <v>108210</v>
          </cell>
          <cell r="W310">
            <v>114780</v>
          </cell>
          <cell r="X310">
            <v>114890</v>
          </cell>
          <cell r="Y310">
            <v>114760</v>
          </cell>
          <cell r="Z310">
            <v>114820</v>
          </cell>
          <cell r="AA310">
            <v>109780</v>
          </cell>
          <cell r="AB310">
            <v>109790</v>
          </cell>
          <cell r="AC310">
            <v>109760</v>
          </cell>
          <cell r="AD310">
            <v>109780</v>
          </cell>
          <cell r="AE310">
            <v>111200</v>
          </cell>
          <cell r="AF310">
            <v>111220</v>
          </cell>
          <cell r="AG310">
            <v>111160</v>
          </cell>
          <cell r="AH310">
            <v>111180</v>
          </cell>
        </row>
        <row r="311">
          <cell r="S311">
            <v>108220</v>
          </cell>
          <cell r="T311">
            <v>108280</v>
          </cell>
          <cell r="U311">
            <v>108220</v>
          </cell>
          <cell r="V311">
            <v>108280</v>
          </cell>
          <cell r="W311">
            <v>114810</v>
          </cell>
          <cell r="X311">
            <v>114840</v>
          </cell>
          <cell r="Y311">
            <v>114810</v>
          </cell>
          <cell r="Z311">
            <v>114840</v>
          </cell>
          <cell r="AA311">
            <v>109790</v>
          </cell>
          <cell r="AB311">
            <v>109810</v>
          </cell>
          <cell r="AC311">
            <v>109780</v>
          </cell>
          <cell r="AD311">
            <v>109800</v>
          </cell>
          <cell r="AE311">
            <v>111180</v>
          </cell>
          <cell r="AF311">
            <v>111220</v>
          </cell>
          <cell r="AG311">
            <v>111180</v>
          </cell>
          <cell r="AH311">
            <v>111210</v>
          </cell>
        </row>
        <row r="312">
          <cell r="S312">
            <v>108310</v>
          </cell>
          <cell r="T312">
            <v>108310</v>
          </cell>
          <cell r="U312">
            <v>108310</v>
          </cell>
          <cell r="V312">
            <v>108310</v>
          </cell>
          <cell r="W312">
            <v>114830</v>
          </cell>
          <cell r="X312">
            <v>114850</v>
          </cell>
          <cell r="Y312">
            <v>114810</v>
          </cell>
          <cell r="Z312">
            <v>114830</v>
          </cell>
          <cell r="AA312">
            <v>109800</v>
          </cell>
          <cell r="AB312">
            <v>109880</v>
          </cell>
          <cell r="AC312">
            <v>109800</v>
          </cell>
          <cell r="AD312">
            <v>109840</v>
          </cell>
          <cell r="AE312">
            <v>111200</v>
          </cell>
          <cell r="AF312">
            <v>111230</v>
          </cell>
          <cell r="AG312">
            <v>111190</v>
          </cell>
          <cell r="AH312">
            <v>111220</v>
          </cell>
        </row>
        <row r="313">
          <cell r="S313">
            <v>108260</v>
          </cell>
          <cell r="T313">
            <v>108260</v>
          </cell>
          <cell r="U313">
            <v>108210</v>
          </cell>
          <cell r="V313">
            <v>108210</v>
          </cell>
          <cell r="W313">
            <v>114840</v>
          </cell>
          <cell r="X313">
            <v>114840</v>
          </cell>
          <cell r="Y313">
            <v>114800</v>
          </cell>
          <cell r="Z313">
            <v>114800</v>
          </cell>
          <cell r="AA313">
            <v>109850</v>
          </cell>
          <cell r="AB313">
            <v>109880</v>
          </cell>
          <cell r="AC313">
            <v>109800</v>
          </cell>
          <cell r="AD313">
            <v>109800</v>
          </cell>
          <cell r="AE313">
            <v>111230</v>
          </cell>
          <cell r="AF313">
            <v>111240</v>
          </cell>
          <cell r="AG313">
            <v>111180</v>
          </cell>
          <cell r="AH313">
            <v>111200</v>
          </cell>
        </row>
        <row r="314">
          <cell r="S314">
            <v>108220</v>
          </cell>
          <cell r="T314">
            <v>108270</v>
          </cell>
          <cell r="U314">
            <v>108220</v>
          </cell>
          <cell r="V314">
            <v>108270</v>
          </cell>
          <cell r="W314">
            <v>114800</v>
          </cell>
          <cell r="X314">
            <v>114830</v>
          </cell>
          <cell r="Y314">
            <v>114800</v>
          </cell>
          <cell r="Z314">
            <v>114810</v>
          </cell>
          <cell r="AA314">
            <v>109800</v>
          </cell>
          <cell r="AB314">
            <v>109830</v>
          </cell>
          <cell r="AC314">
            <v>109760</v>
          </cell>
          <cell r="AD314">
            <v>109810</v>
          </cell>
          <cell r="AE314">
            <v>111200</v>
          </cell>
          <cell r="AF314">
            <v>111230</v>
          </cell>
          <cell r="AG314">
            <v>111190</v>
          </cell>
          <cell r="AH314">
            <v>111220</v>
          </cell>
        </row>
        <row r="315">
          <cell r="S315">
            <v>108230</v>
          </cell>
          <cell r="T315">
            <v>108240</v>
          </cell>
          <cell r="U315">
            <v>108230</v>
          </cell>
          <cell r="V315">
            <v>108230</v>
          </cell>
          <cell r="W315">
            <v>114810</v>
          </cell>
          <cell r="X315">
            <v>114840</v>
          </cell>
          <cell r="Y315">
            <v>114800</v>
          </cell>
          <cell r="Z315">
            <v>114800</v>
          </cell>
          <cell r="AA315">
            <v>109800</v>
          </cell>
          <cell r="AB315">
            <v>109800</v>
          </cell>
          <cell r="AC315">
            <v>109730</v>
          </cell>
          <cell r="AD315">
            <v>109750</v>
          </cell>
          <cell r="AE315">
            <v>111230</v>
          </cell>
          <cell r="AF315">
            <v>111250</v>
          </cell>
          <cell r="AG315">
            <v>111200</v>
          </cell>
          <cell r="AH315">
            <v>111230</v>
          </cell>
        </row>
        <row r="316">
          <cell r="S316">
            <v>108230</v>
          </cell>
          <cell r="T316">
            <v>108230</v>
          </cell>
          <cell r="U316">
            <v>108230</v>
          </cell>
          <cell r="V316">
            <v>108230</v>
          </cell>
          <cell r="W316">
            <v>114810</v>
          </cell>
          <cell r="X316">
            <v>114810</v>
          </cell>
          <cell r="Y316">
            <v>114760</v>
          </cell>
          <cell r="Z316">
            <v>114760</v>
          </cell>
          <cell r="AA316">
            <v>109760</v>
          </cell>
          <cell r="AB316">
            <v>109820</v>
          </cell>
          <cell r="AC316">
            <v>109760</v>
          </cell>
          <cell r="AD316">
            <v>109820</v>
          </cell>
          <cell r="AE316">
            <v>111230</v>
          </cell>
          <cell r="AF316">
            <v>111270</v>
          </cell>
          <cell r="AG316">
            <v>111230</v>
          </cell>
          <cell r="AH316">
            <v>111250</v>
          </cell>
        </row>
        <row r="317">
          <cell r="S317">
            <v>108220</v>
          </cell>
          <cell r="T317">
            <v>108250</v>
          </cell>
          <cell r="U317">
            <v>108220</v>
          </cell>
          <cell r="V317">
            <v>108250</v>
          </cell>
          <cell r="W317">
            <v>114760</v>
          </cell>
          <cell r="X317">
            <v>114810</v>
          </cell>
          <cell r="Y317">
            <v>114760</v>
          </cell>
          <cell r="Z317">
            <v>114800</v>
          </cell>
          <cell r="AA317">
            <v>109810</v>
          </cell>
          <cell r="AB317">
            <v>109940</v>
          </cell>
          <cell r="AC317">
            <v>109800</v>
          </cell>
          <cell r="AD317">
            <v>109890</v>
          </cell>
          <cell r="AE317">
            <v>111250</v>
          </cell>
          <cell r="AF317">
            <v>111260</v>
          </cell>
          <cell r="AG317">
            <v>111180</v>
          </cell>
          <cell r="AH317">
            <v>111200</v>
          </cell>
        </row>
        <row r="318">
          <cell r="S318">
            <v>108240</v>
          </cell>
          <cell r="T318">
            <v>108240</v>
          </cell>
          <cell r="U318">
            <v>108240</v>
          </cell>
          <cell r="V318">
            <v>108240</v>
          </cell>
          <cell r="W318">
            <v>114800</v>
          </cell>
          <cell r="X318">
            <v>114820</v>
          </cell>
          <cell r="Y318">
            <v>114780</v>
          </cell>
          <cell r="Z318">
            <v>114820</v>
          </cell>
          <cell r="AA318">
            <v>109890</v>
          </cell>
          <cell r="AB318">
            <v>110050</v>
          </cell>
          <cell r="AC318">
            <v>109890</v>
          </cell>
          <cell r="AD318">
            <v>110020</v>
          </cell>
          <cell r="AE318">
            <v>111200</v>
          </cell>
          <cell r="AF318">
            <v>111200</v>
          </cell>
          <cell r="AG318">
            <v>111130</v>
          </cell>
          <cell r="AH318">
            <v>111190</v>
          </cell>
        </row>
        <row r="319">
          <cell r="S319">
            <v>108220</v>
          </cell>
          <cell r="T319">
            <v>108220</v>
          </cell>
          <cell r="U319">
            <v>108220</v>
          </cell>
          <cell r="V319">
            <v>108220</v>
          </cell>
          <cell r="W319">
            <v>114820</v>
          </cell>
          <cell r="X319">
            <v>114840</v>
          </cell>
          <cell r="Y319">
            <v>114800</v>
          </cell>
          <cell r="Z319">
            <v>114830</v>
          </cell>
          <cell r="AA319">
            <v>110020</v>
          </cell>
          <cell r="AB319">
            <v>110080</v>
          </cell>
          <cell r="AC319">
            <v>110010</v>
          </cell>
          <cell r="AD319">
            <v>110020</v>
          </cell>
          <cell r="AE319">
            <v>111190</v>
          </cell>
          <cell r="AF319">
            <v>111190</v>
          </cell>
          <cell r="AG319">
            <v>111120</v>
          </cell>
          <cell r="AH319">
            <v>111160</v>
          </cell>
        </row>
        <row r="320">
          <cell r="S320">
            <v>108170</v>
          </cell>
          <cell r="T320">
            <v>108170</v>
          </cell>
          <cell r="U320">
            <v>108170</v>
          </cell>
          <cell r="V320">
            <v>108170</v>
          </cell>
          <cell r="W320">
            <v>114830</v>
          </cell>
          <cell r="X320">
            <v>114850</v>
          </cell>
          <cell r="Y320">
            <v>114790</v>
          </cell>
          <cell r="Z320">
            <v>114790</v>
          </cell>
          <cell r="AA320">
            <v>110020</v>
          </cell>
          <cell r="AB320">
            <v>110060</v>
          </cell>
          <cell r="AC320">
            <v>110000</v>
          </cell>
          <cell r="AD320">
            <v>110050</v>
          </cell>
          <cell r="AE320">
            <v>111150</v>
          </cell>
          <cell r="AF320">
            <v>111220</v>
          </cell>
          <cell r="AG320">
            <v>111150</v>
          </cell>
          <cell r="AH320">
            <v>111220</v>
          </cell>
        </row>
        <row r="321">
          <cell r="S321">
            <v>108180</v>
          </cell>
          <cell r="T321">
            <v>108180</v>
          </cell>
          <cell r="U321">
            <v>108180</v>
          </cell>
          <cell r="V321">
            <v>108180</v>
          </cell>
          <cell r="W321">
            <v>114790</v>
          </cell>
          <cell r="X321">
            <v>114810</v>
          </cell>
          <cell r="Y321">
            <v>114770</v>
          </cell>
          <cell r="Z321">
            <v>114780</v>
          </cell>
          <cell r="AA321">
            <v>110050</v>
          </cell>
          <cell r="AB321">
            <v>110140</v>
          </cell>
          <cell r="AC321">
            <v>110040</v>
          </cell>
          <cell r="AD321">
            <v>110070</v>
          </cell>
          <cell r="AE321">
            <v>111210</v>
          </cell>
          <cell r="AF321">
            <v>111210</v>
          </cell>
          <cell r="AG321">
            <v>111170</v>
          </cell>
          <cell r="AH321">
            <v>111190</v>
          </cell>
        </row>
        <row r="322">
          <cell r="S322">
            <v>108140</v>
          </cell>
          <cell r="T322">
            <v>108140</v>
          </cell>
          <cell r="U322">
            <v>108140</v>
          </cell>
          <cell r="V322">
            <v>108140</v>
          </cell>
          <cell r="W322">
            <v>114770</v>
          </cell>
          <cell r="X322">
            <v>114840</v>
          </cell>
          <cell r="Y322">
            <v>114760</v>
          </cell>
          <cell r="Z322">
            <v>114840</v>
          </cell>
          <cell r="AA322">
            <v>110070</v>
          </cell>
          <cell r="AB322">
            <v>110080</v>
          </cell>
          <cell r="AC322">
            <v>109960</v>
          </cell>
          <cell r="AD322">
            <v>109990</v>
          </cell>
          <cell r="AE322">
            <v>111180</v>
          </cell>
          <cell r="AF322">
            <v>111210</v>
          </cell>
          <cell r="AG322">
            <v>111150</v>
          </cell>
          <cell r="AH322">
            <v>111170</v>
          </cell>
        </row>
        <row r="323">
          <cell r="S323">
            <v>108150</v>
          </cell>
          <cell r="T323">
            <v>108150</v>
          </cell>
          <cell r="U323">
            <v>108150</v>
          </cell>
          <cell r="V323">
            <v>108150</v>
          </cell>
          <cell r="W323">
            <v>114830</v>
          </cell>
          <cell r="X323">
            <v>114840</v>
          </cell>
          <cell r="Y323">
            <v>114780</v>
          </cell>
          <cell r="Z323">
            <v>114780</v>
          </cell>
          <cell r="AA323">
            <v>109990</v>
          </cell>
          <cell r="AB323">
            <v>110060</v>
          </cell>
          <cell r="AC323">
            <v>109990</v>
          </cell>
          <cell r="AD323">
            <v>110020</v>
          </cell>
          <cell r="AE323">
            <v>111180</v>
          </cell>
          <cell r="AF323">
            <v>111230</v>
          </cell>
          <cell r="AG323">
            <v>111180</v>
          </cell>
          <cell r="AH323">
            <v>111210</v>
          </cell>
        </row>
        <row r="324">
          <cell r="S324">
            <v>108180</v>
          </cell>
          <cell r="T324">
            <v>108180</v>
          </cell>
          <cell r="U324">
            <v>108180</v>
          </cell>
          <cell r="V324">
            <v>108180</v>
          </cell>
          <cell r="W324">
            <v>114790</v>
          </cell>
          <cell r="X324">
            <v>114830</v>
          </cell>
          <cell r="Y324">
            <v>114730</v>
          </cell>
          <cell r="Z324">
            <v>114810</v>
          </cell>
          <cell r="AA324">
            <v>110030</v>
          </cell>
          <cell r="AB324">
            <v>110040</v>
          </cell>
          <cell r="AC324">
            <v>109990</v>
          </cell>
          <cell r="AD324">
            <v>110000</v>
          </cell>
          <cell r="AE324">
            <v>111210</v>
          </cell>
          <cell r="AF324">
            <v>111250</v>
          </cell>
          <cell r="AG324">
            <v>111200</v>
          </cell>
          <cell r="AH324">
            <v>111250</v>
          </cell>
        </row>
        <row r="325">
          <cell r="S325">
            <v>108180</v>
          </cell>
          <cell r="T325">
            <v>108180</v>
          </cell>
          <cell r="U325">
            <v>108180</v>
          </cell>
          <cell r="V325">
            <v>108180</v>
          </cell>
          <cell r="W325">
            <v>114810</v>
          </cell>
          <cell r="X325">
            <v>114820</v>
          </cell>
          <cell r="Y325">
            <v>114760</v>
          </cell>
          <cell r="Z325">
            <v>114780</v>
          </cell>
          <cell r="AA325">
            <v>109990</v>
          </cell>
          <cell r="AB325">
            <v>110060</v>
          </cell>
          <cell r="AC325">
            <v>109990</v>
          </cell>
          <cell r="AD325">
            <v>109990</v>
          </cell>
          <cell r="AE325">
            <v>111250</v>
          </cell>
          <cell r="AF325">
            <v>111280</v>
          </cell>
          <cell r="AG325">
            <v>111230</v>
          </cell>
          <cell r="AH325">
            <v>111250</v>
          </cell>
        </row>
        <row r="326">
          <cell r="S326">
            <v>108190</v>
          </cell>
          <cell r="T326">
            <v>108240</v>
          </cell>
          <cell r="U326">
            <v>108190</v>
          </cell>
          <cell r="V326">
            <v>108230</v>
          </cell>
          <cell r="W326">
            <v>114780</v>
          </cell>
          <cell r="X326">
            <v>114790</v>
          </cell>
          <cell r="Y326">
            <v>114710</v>
          </cell>
          <cell r="Z326">
            <v>114780</v>
          </cell>
          <cell r="AA326">
            <v>110000</v>
          </cell>
          <cell r="AB326">
            <v>110040</v>
          </cell>
          <cell r="AC326">
            <v>109980</v>
          </cell>
          <cell r="AD326">
            <v>110030</v>
          </cell>
          <cell r="AE326">
            <v>111240</v>
          </cell>
          <cell r="AF326">
            <v>111250</v>
          </cell>
          <cell r="AG326">
            <v>111200</v>
          </cell>
          <cell r="AH326">
            <v>111210</v>
          </cell>
        </row>
        <row r="327">
          <cell r="S327">
            <v>108200</v>
          </cell>
          <cell r="T327">
            <v>108200</v>
          </cell>
          <cell r="U327">
            <v>108180</v>
          </cell>
          <cell r="V327">
            <v>108200</v>
          </cell>
          <cell r="W327">
            <v>114770</v>
          </cell>
          <cell r="X327">
            <v>114940</v>
          </cell>
          <cell r="Y327">
            <v>114760</v>
          </cell>
          <cell r="Z327">
            <v>114930</v>
          </cell>
          <cell r="AA327">
            <v>110040</v>
          </cell>
          <cell r="AB327">
            <v>110050</v>
          </cell>
          <cell r="AC327">
            <v>109990</v>
          </cell>
          <cell r="AD327">
            <v>109990</v>
          </cell>
          <cell r="AE327">
            <v>111220</v>
          </cell>
          <cell r="AF327">
            <v>111250</v>
          </cell>
          <cell r="AG327">
            <v>111190</v>
          </cell>
          <cell r="AH327">
            <v>111220</v>
          </cell>
        </row>
        <row r="328">
          <cell r="S328">
            <v>108220</v>
          </cell>
          <cell r="T328">
            <v>108240</v>
          </cell>
          <cell r="U328">
            <v>108220</v>
          </cell>
          <cell r="V328">
            <v>108240</v>
          </cell>
          <cell r="W328">
            <v>114910</v>
          </cell>
          <cell r="X328">
            <v>114930</v>
          </cell>
          <cell r="Y328">
            <v>114860</v>
          </cell>
          <cell r="Z328">
            <v>114870</v>
          </cell>
          <cell r="AA328">
            <v>109990</v>
          </cell>
          <cell r="AB328">
            <v>110080</v>
          </cell>
          <cell r="AC328">
            <v>109980</v>
          </cell>
          <cell r="AD328">
            <v>110060</v>
          </cell>
          <cell r="AE328">
            <v>111220</v>
          </cell>
          <cell r="AF328">
            <v>111260</v>
          </cell>
          <cell r="AG328">
            <v>111210</v>
          </cell>
          <cell r="AH328">
            <v>111210</v>
          </cell>
        </row>
        <row r="329">
          <cell r="S329">
            <v>108210</v>
          </cell>
          <cell r="T329">
            <v>108300</v>
          </cell>
          <cell r="U329">
            <v>108210</v>
          </cell>
          <cell r="V329">
            <v>108270</v>
          </cell>
          <cell r="W329">
            <v>114870</v>
          </cell>
          <cell r="X329">
            <v>114880</v>
          </cell>
          <cell r="Y329">
            <v>114840</v>
          </cell>
          <cell r="Z329">
            <v>114860</v>
          </cell>
          <cell r="AA329">
            <v>110060</v>
          </cell>
          <cell r="AB329">
            <v>110190</v>
          </cell>
          <cell r="AC329">
            <v>110060</v>
          </cell>
          <cell r="AD329">
            <v>110130</v>
          </cell>
          <cell r="AE329">
            <v>111230</v>
          </cell>
          <cell r="AF329">
            <v>111280</v>
          </cell>
          <cell r="AG329">
            <v>111230</v>
          </cell>
          <cell r="AH329">
            <v>111280</v>
          </cell>
        </row>
        <row r="330">
          <cell r="S330">
            <v>108250</v>
          </cell>
          <cell r="T330">
            <v>108250</v>
          </cell>
          <cell r="U330">
            <v>108210</v>
          </cell>
          <cell r="V330">
            <v>108210</v>
          </cell>
          <cell r="W330">
            <v>114870</v>
          </cell>
          <cell r="X330">
            <v>114900</v>
          </cell>
          <cell r="Y330">
            <v>114840</v>
          </cell>
          <cell r="Z330">
            <v>114880</v>
          </cell>
          <cell r="AA330">
            <v>110120</v>
          </cell>
          <cell r="AB330">
            <v>110150</v>
          </cell>
          <cell r="AC330">
            <v>110120</v>
          </cell>
          <cell r="AD330">
            <v>110130</v>
          </cell>
          <cell r="AE330">
            <v>111270</v>
          </cell>
          <cell r="AF330">
            <v>111310</v>
          </cell>
          <cell r="AG330">
            <v>111260</v>
          </cell>
          <cell r="AH330">
            <v>111300</v>
          </cell>
        </row>
        <row r="331">
          <cell r="S331">
            <v>108240</v>
          </cell>
          <cell r="T331">
            <v>108240</v>
          </cell>
          <cell r="U331">
            <v>108180</v>
          </cell>
          <cell r="V331">
            <v>108210</v>
          </cell>
          <cell r="W331">
            <v>114890</v>
          </cell>
          <cell r="X331">
            <v>114890</v>
          </cell>
          <cell r="Y331">
            <v>114820</v>
          </cell>
          <cell r="Z331">
            <v>114860</v>
          </cell>
          <cell r="AA331">
            <v>110150</v>
          </cell>
          <cell r="AB331">
            <v>110170</v>
          </cell>
          <cell r="AC331">
            <v>110130</v>
          </cell>
          <cell r="AD331">
            <v>110160</v>
          </cell>
          <cell r="AE331">
            <v>111300</v>
          </cell>
          <cell r="AF331">
            <v>111330</v>
          </cell>
          <cell r="AG331">
            <v>111270</v>
          </cell>
          <cell r="AH331">
            <v>111330</v>
          </cell>
        </row>
        <row r="332">
          <cell r="S332">
            <v>108180</v>
          </cell>
          <cell r="T332">
            <v>108180</v>
          </cell>
          <cell r="U332">
            <v>108100</v>
          </cell>
          <cell r="V332">
            <v>108150</v>
          </cell>
          <cell r="W332">
            <v>114870</v>
          </cell>
          <cell r="X332">
            <v>114910</v>
          </cell>
          <cell r="Y332">
            <v>114860</v>
          </cell>
          <cell r="Z332">
            <v>114880</v>
          </cell>
          <cell r="AA332">
            <v>110160</v>
          </cell>
          <cell r="AB332">
            <v>110270</v>
          </cell>
          <cell r="AC332">
            <v>110160</v>
          </cell>
          <cell r="AD332">
            <v>110250</v>
          </cell>
          <cell r="AE332">
            <v>111330</v>
          </cell>
          <cell r="AF332">
            <v>111360</v>
          </cell>
          <cell r="AG332">
            <v>111300</v>
          </cell>
          <cell r="AH332">
            <v>111350</v>
          </cell>
        </row>
        <row r="333">
          <cell r="S333">
            <v>108150</v>
          </cell>
          <cell r="T333">
            <v>108180</v>
          </cell>
          <cell r="U333">
            <v>108150</v>
          </cell>
          <cell r="V333">
            <v>108180</v>
          </cell>
          <cell r="W333">
            <v>114880</v>
          </cell>
          <cell r="X333">
            <v>114900</v>
          </cell>
          <cell r="Y333">
            <v>114810</v>
          </cell>
          <cell r="Z333">
            <v>114820</v>
          </cell>
          <cell r="AA333">
            <v>110260</v>
          </cell>
          <cell r="AB333">
            <v>110380</v>
          </cell>
          <cell r="AC333">
            <v>110240</v>
          </cell>
          <cell r="AD333">
            <v>110370</v>
          </cell>
          <cell r="AE333">
            <v>111350</v>
          </cell>
          <cell r="AF333">
            <v>111400</v>
          </cell>
          <cell r="AG333">
            <v>111340</v>
          </cell>
          <cell r="AH333">
            <v>111340</v>
          </cell>
        </row>
        <row r="334">
          <cell r="S334">
            <v>108210</v>
          </cell>
          <cell r="T334">
            <v>108250</v>
          </cell>
          <cell r="U334">
            <v>108210</v>
          </cell>
          <cell r="V334">
            <v>108240</v>
          </cell>
          <cell r="W334">
            <v>114820</v>
          </cell>
          <cell r="X334">
            <v>114910</v>
          </cell>
          <cell r="Y334">
            <v>114820</v>
          </cell>
          <cell r="Z334">
            <v>114900</v>
          </cell>
          <cell r="AA334">
            <v>110380</v>
          </cell>
          <cell r="AB334">
            <v>110400</v>
          </cell>
          <cell r="AC334">
            <v>110320</v>
          </cell>
          <cell r="AD334">
            <v>110330</v>
          </cell>
          <cell r="AE334">
            <v>111340</v>
          </cell>
          <cell r="AF334">
            <v>111350</v>
          </cell>
          <cell r="AG334">
            <v>111310</v>
          </cell>
          <cell r="AH334">
            <v>111330</v>
          </cell>
        </row>
        <row r="335">
          <cell r="S335">
            <v>108250</v>
          </cell>
          <cell r="T335">
            <v>108290</v>
          </cell>
          <cell r="U335">
            <v>108230</v>
          </cell>
          <cell r="V335">
            <v>108230</v>
          </cell>
          <cell r="W335">
            <v>114900</v>
          </cell>
          <cell r="X335">
            <v>114910</v>
          </cell>
          <cell r="Y335">
            <v>114870</v>
          </cell>
          <cell r="Z335">
            <v>114870</v>
          </cell>
          <cell r="AA335">
            <v>110340</v>
          </cell>
          <cell r="AB335">
            <v>110370</v>
          </cell>
          <cell r="AC335">
            <v>110300</v>
          </cell>
          <cell r="AD335">
            <v>110370</v>
          </cell>
          <cell r="AE335">
            <v>111330</v>
          </cell>
          <cell r="AF335">
            <v>111330</v>
          </cell>
          <cell r="AG335">
            <v>111240</v>
          </cell>
          <cell r="AH335">
            <v>111300</v>
          </cell>
        </row>
        <row r="336">
          <cell r="S336">
            <v>108250</v>
          </cell>
          <cell r="T336">
            <v>108250</v>
          </cell>
          <cell r="U336">
            <v>108240</v>
          </cell>
          <cell r="V336">
            <v>108240</v>
          </cell>
          <cell r="W336">
            <v>114870</v>
          </cell>
          <cell r="X336">
            <v>114890</v>
          </cell>
          <cell r="Y336">
            <v>114830</v>
          </cell>
          <cell r="Z336">
            <v>114860</v>
          </cell>
          <cell r="AA336">
            <v>110350</v>
          </cell>
          <cell r="AB336">
            <v>110380</v>
          </cell>
          <cell r="AC336">
            <v>110320</v>
          </cell>
          <cell r="AD336">
            <v>110330</v>
          </cell>
          <cell r="AE336">
            <v>111300</v>
          </cell>
          <cell r="AF336">
            <v>111380</v>
          </cell>
          <cell r="AG336">
            <v>111290</v>
          </cell>
          <cell r="AH336">
            <v>111340</v>
          </cell>
        </row>
        <row r="337">
          <cell r="S337">
            <v>108240</v>
          </cell>
          <cell r="T337">
            <v>108240</v>
          </cell>
          <cell r="U337">
            <v>108240</v>
          </cell>
          <cell r="V337">
            <v>108240</v>
          </cell>
          <cell r="W337">
            <v>114860</v>
          </cell>
          <cell r="X337">
            <v>114860</v>
          </cell>
          <cell r="Y337">
            <v>114790</v>
          </cell>
          <cell r="Z337">
            <v>114810</v>
          </cell>
          <cell r="AA337">
            <v>110330</v>
          </cell>
          <cell r="AB337">
            <v>110350</v>
          </cell>
          <cell r="AC337">
            <v>110280</v>
          </cell>
          <cell r="AD337">
            <v>110320</v>
          </cell>
          <cell r="AE337">
            <v>111350</v>
          </cell>
          <cell r="AF337">
            <v>111380</v>
          </cell>
          <cell r="AG337">
            <v>111320</v>
          </cell>
          <cell r="AH337">
            <v>111340</v>
          </cell>
        </row>
        <row r="338">
          <cell r="S338">
            <v>108260</v>
          </cell>
          <cell r="T338">
            <v>108260</v>
          </cell>
          <cell r="U338">
            <v>108210</v>
          </cell>
          <cell r="V338">
            <v>108210</v>
          </cell>
          <cell r="W338">
            <v>114810</v>
          </cell>
          <cell r="X338">
            <v>114840</v>
          </cell>
          <cell r="Y338">
            <v>114790</v>
          </cell>
          <cell r="Z338">
            <v>114790</v>
          </cell>
          <cell r="AA338">
            <v>110320</v>
          </cell>
          <cell r="AB338">
            <v>110330</v>
          </cell>
          <cell r="AC338">
            <v>110260</v>
          </cell>
          <cell r="AD338">
            <v>110260</v>
          </cell>
          <cell r="AE338">
            <v>111350</v>
          </cell>
          <cell r="AF338">
            <v>111370</v>
          </cell>
          <cell r="AG338">
            <v>111320</v>
          </cell>
          <cell r="AH338">
            <v>111320</v>
          </cell>
        </row>
        <row r="339">
          <cell r="S339">
            <v>108230</v>
          </cell>
          <cell r="T339">
            <v>108360</v>
          </cell>
          <cell r="U339">
            <v>108230</v>
          </cell>
          <cell r="V339">
            <v>108340</v>
          </cell>
          <cell r="W339">
            <v>114790</v>
          </cell>
          <cell r="X339">
            <v>114800</v>
          </cell>
          <cell r="Y339">
            <v>114720</v>
          </cell>
          <cell r="Z339">
            <v>114720</v>
          </cell>
          <cell r="AA339">
            <v>110270</v>
          </cell>
          <cell r="AB339">
            <v>110300</v>
          </cell>
          <cell r="AC339">
            <v>110260</v>
          </cell>
          <cell r="AD339">
            <v>110270</v>
          </cell>
          <cell r="AE339">
            <v>111330</v>
          </cell>
          <cell r="AF339">
            <v>111350</v>
          </cell>
          <cell r="AG339">
            <v>111300</v>
          </cell>
          <cell r="AH339">
            <v>111320</v>
          </cell>
        </row>
        <row r="340">
          <cell r="S340">
            <v>108370</v>
          </cell>
          <cell r="T340">
            <v>108370</v>
          </cell>
          <cell r="U340">
            <v>108280</v>
          </cell>
          <cell r="V340">
            <v>108340</v>
          </cell>
          <cell r="W340">
            <v>114730</v>
          </cell>
          <cell r="X340">
            <v>114770</v>
          </cell>
          <cell r="Y340">
            <v>114710</v>
          </cell>
          <cell r="Z340">
            <v>114760</v>
          </cell>
          <cell r="AA340">
            <v>110260</v>
          </cell>
          <cell r="AB340">
            <v>110290</v>
          </cell>
          <cell r="AC340">
            <v>110260</v>
          </cell>
          <cell r="AD340">
            <v>110270</v>
          </cell>
          <cell r="AE340">
            <v>111320</v>
          </cell>
          <cell r="AF340">
            <v>111360</v>
          </cell>
          <cell r="AG340">
            <v>111300</v>
          </cell>
          <cell r="AH340">
            <v>111350</v>
          </cell>
        </row>
        <row r="341">
          <cell r="S341">
            <v>108340</v>
          </cell>
          <cell r="T341">
            <v>108340</v>
          </cell>
          <cell r="U341">
            <v>108320</v>
          </cell>
          <cell r="V341">
            <v>108320</v>
          </cell>
          <cell r="W341">
            <v>114760</v>
          </cell>
          <cell r="X341">
            <v>114780</v>
          </cell>
          <cell r="Y341">
            <v>114740</v>
          </cell>
          <cell r="Z341">
            <v>114740</v>
          </cell>
          <cell r="AA341">
            <v>110280</v>
          </cell>
          <cell r="AB341">
            <v>110290</v>
          </cell>
          <cell r="AC341">
            <v>110260</v>
          </cell>
          <cell r="AD341">
            <v>110280</v>
          </cell>
          <cell r="AE341">
            <v>111360</v>
          </cell>
          <cell r="AF341">
            <v>111360</v>
          </cell>
          <cell r="AG341">
            <v>111300</v>
          </cell>
          <cell r="AH341">
            <v>111310</v>
          </cell>
        </row>
        <row r="342">
          <cell r="S342">
            <v>108260</v>
          </cell>
          <cell r="T342">
            <v>108290</v>
          </cell>
          <cell r="U342">
            <v>108260</v>
          </cell>
          <cell r="V342">
            <v>108290</v>
          </cell>
          <cell r="W342">
            <v>114740</v>
          </cell>
          <cell r="X342">
            <v>114760</v>
          </cell>
          <cell r="Y342">
            <v>114640</v>
          </cell>
          <cell r="Z342">
            <v>114650</v>
          </cell>
          <cell r="AA342">
            <v>110280</v>
          </cell>
          <cell r="AB342">
            <v>110310</v>
          </cell>
          <cell r="AC342">
            <v>110240</v>
          </cell>
          <cell r="AD342">
            <v>110240</v>
          </cell>
          <cell r="AE342">
            <v>111310</v>
          </cell>
          <cell r="AF342">
            <v>111320</v>
          </cell>
          <cell r="AG342">
            <v>111240</v>
          </cell>
          <cell r="AH342">
            <v>111250</v>
          </cell>
        </row>
        <row r="343">
          <cell r="S343">
            <v>108310</v>
          </cell>
          <cell r="T343">
            <v>108360</v>
          </cell>
          <cell r="U343">
            <v>108310</v>
          </cell>
          <cell r="V343">
            <v>108350</v>
          </cell>
          <cell r="W343">
            <v>114640</v>
          </cell>
          <cell r="X343">
            <v>114710</v>
          </cell>
          <cell r="Y343">
            <v>114610</v>
          </cell>
          <cell r="Z343">
            <v>114700</v>
          </cell>
          <cell r="AA343">
            <v>110260</v>
          </cell>
          <cell r="AB343">
            <v>110280</v>
          </cell>
          <cell r="AC343">
            <v>110250</v>
          </cell>
          <cell r="AD343">
            <v>110280</v>
          </cell>
          <cell r="AE343">
            <v>111240</v>
          </cell>
          <cell r="AF343">
            <v>111270</v>
          </cell>
          <cell r="AG343">
            <v>111210</v>
          </cell>
          <cell r="AH343">
            <v>111210</v>
          </cell>
        </row>
        <row r="344">
          <cell r="S344">
            <v>108320</v>
          </cell>
          <cell r="T344">
            <v>108320</v>
          </cell>
          <cell r="U344">
            <v>108260</v>
          </cell>
          <cell r="V344">
            <v>108280</v>
          </cell>
          <cell r="W344">
            <v>114700</v>
          </cell>
          <cell r="X344">
            <v>114740</v>
          </cell>
          <cell r="Y344">
            <v>114680</v>
          </cell>
          <cell r="Z344">
            <v>114740</v>
          </cell>
          <cell r="AA344">
            <v>110260</v>
          </cell>
          <cell r="AB344">
            <v>110320</v>
          </cell>
          <cell r="AC344">
            <v>110250</v>
          </cell>
          <cell r="AD344">
            <v>110290</v>
          </cell>
          <cell r="AE344">
            <v>111230</v>
          </cell>
          <cell r="AF344">
            <v>111250</v>
          </cell>
          <cell r="AG344">
            <v>111200</v>
          </cell>
          <cell r="AH344">
            <v>111230</v>
          </cell>
        </row>
        <row r="345">
          <cell r="S345">
            <v>108240</v>
          </cell>
          <cell r="T345">
            <v>108260</v>
          </cell>
          <cell r="U345">
            <v>108230</v>
          </cell>
          <cell r="V345">
            <v>108230</v>
          </cell>
          <cell r="W345">
            <v>114720</v>
          </cell>
          <cell r="X345">
            <v>114820</v>
          </cell>
          <cell r="Y345">
            <v>114720</v>
          </cell>
          <cell r="Z345">
            <v>114800</v>
          </cell>
          <cell r="AA345">
            <v>110300</v>
          </cell>
          <cell r="AB345">
            <v>110320</v>
          </cell>
          <cell r="AC345">
            <v>110270</v>
          </cell>
          <cell r="AD345">
            <v>110280</v>
          </cell>
          <cell r="AE345">
            <v>111220</v>
          </cell>
          <cell r="AF345">
            <v>111220</v>
          </cell>
          <cell r="AG345">
            <v>111100</v>
          </cell>
          <cell r="AH345">
            <v>111150</v>
          </cell>
        </row>
        <row r="346">
          <cell r="S346">
            <v>108260</v>
          </cell>
          <cell r="T346">
            <v>108260</v>
          </cell>
          <cell r="U346">
            <v>108260</v>
          </cell>
          <cell r="V346">
            <v>108260</v>
          </cell>
          <cell r="W346">
            <v>114800</v>
          </cell>
          <cell r="X346">
            <v>114830</v>
          </cell>
          <cell r="Y346">
            <v>114790</v>
          </cell>
          <cell r="Z346">
            <v>114820</v>
          </cell>
          <cell r="AA346">
            <v>110280</v>
          </cell>
          <cell r="AB346">
            <v>110320</v>
          </cell>
          <cell r="AC346">
            <v>110260</v>
          </cell>
          <cell r="AD346">
            <v>110290</v>
          </cell>
          <cell r="AE346">
            <v>111160</v>
          </cell>
          <cell r="AF346">
            <v>111220</v>
          </cell>
          <cell r="AG346">
            <v>111140</v>
          </cell>
          <cell r="AH346">
            <v>111200</v>
          </cell>
        </row>
        <row r="347">
          <cell r="S347">
            <v>108260</v>
          </cell>
          <cell r="T347">
            <v>108290</v>
          </cell>
          <cell r="U347">
            <v>108260</v>
          </cell>
          <cell r="V347">
            <v>108290</v>
          </cell>
          <cell r="W347">
            <v>114820</v>
          </cell>
          <cell r="X347">
            <v>114820</v>
          </cell>
          <cell r="Y347">
            <v>114730</v>
          </cell>
          <cell r="Z347">
            <v>114780</v>
          </cell>
          <cell r="AA347">
            <v>110290</v>
          </cell>
          <cell r="AB347">
            <v>110310</v>
          </cell>
          <cell r="AC347">
            <v>110250</v>
          </cell>
          <cell r="AD347">
            <v>110260</v>
          </cell>
          <cell r="AE347">
            <v>111190</v>
          </cell>
          <cell r="AF347">
            <v>111200</v>
          </cell>
          <cell r="AG347">
            <v>111170</v>
          </cell>
          <cell r="AH347">
            <v>111200</v>
          </cell>
        </row>
        <row r="348">
          <cell r="S348">
            <v>108340</v>
          </cell>
          <cell r="T348">
            <v>108340</v>
          </cell>
          <cell r="U348">
            <v>108190</v>
          </cell>
          <cell r="V348">
            <v>108190</v>
          </cell>
          <cell r="W348">
            <v>114780</v>
          </cell>
          <cell r="X348">
            <v>114860</v>
          </cell>
          <cell r="Y348">
            <v>114780</v>
          </cell>
          <cell r="Z348">
            <v>114810</v>
          </cell>
          <cell r="AA348">
            <v>110270</v>
          </cell>
          <cell r="AB348">
            <v>110280</v>
          </cell>
          <cell r="AC348">
            <v>110210</v>
          </cell>
          <cell r="AD348">
            <v>110260</v>
          </cell>
          <cell r="AE348">
            <v>111200</v>
          </cell>
          <cell r="AF348">
            <v>111220</v>
          </cell>
          <cell r="AG348">
            <v>111190</v>
          </cell>
          <cell r="AH348">
            <v>111190</v>
          </cell>
        </row>
        <row r="349">
          <cell r="S349">
            <v>108250</v>
          </cell>
          <cell r="T349">
            <v>108270</v>
          </cell>
          <cell r="U349">
            <v>108040</v>
          </cell>
          <cell r="V349">
            <v>108040</v>
          </cell>
          <cell r="W349">
            <v>114810</v>
          </cell>
          <cell r="X349">
            <v>114850</v>
          </cell>
          <cell r="Y349">
            <v>114790</v>
          </cell>
          <cell r="Z349">
            <v>114830</v>
          </cell>
          <cell r="AA349">
            <v>110260</v>
          </cell>
          <cell r="AB349">
            <v>110310</v>
          </cell>
          <cell r="AC349">
            <v>110240</v>
          </cell>
          <cell r="AD349">
            <v>110240</v>
          </cell>
          <cell r="AE349">
            <v>111200</v>
          </cell>
          <cell r="AF349">
            <v>111230</v>
          </cell>
          <cell r="AG349">
            <v>111170</v>
          </cell>
          <cell r="AH349">
            <v>111200</v>
          </cell>
        </row>
        <row r="350">
          <cell r="S350">
            <v>108060</v>
          </cell>
          <cell r="T350">
            <v>108120</v>
          </cell>
          <cell r="U350">
            <v>108040</v>
          </cell>
          <cell r="V350">
            <v>108090</v>
          </cell>
          <cell r="W350">
            <v>114830</v>
          </cell>
          <cell r="X350">
            <v>115090</v>
          </cell>
          <cell r="Y350">
            <v>114810</v>
          </cell>
          <cell r="Z350">
            <v>115030</v>
          </cell>
          <cell r="AA350">
            <v>110230</v>
          </cell>
          <cell r="AB350">
            <v>110300</v>
          </cell>
          <cell r="AC350">
            <v>110200</v>
          </cell>
          <cell r="AD350">
            <v>110210</v>
          </cell>
          <cell r="AE350">
            <v>111190</v>
          </cell>
          <cell r="AF350">
            <v>111240</v>
          </cell>
          <cell r="AG350">
            <v>111190</v>
          </cell>
          <cell r="AH350">
            <v>111240</v>
          </cell>
        </row>
        <row r="351">
          <cell r="S351">
            <v>108130</v>
          </cell>
          <cell r="T351">
            <v>108180</v>
          </cell>
          <cell r="U351">
            <v>108130</v>
          </cell>
          <cell r="V351">
            <v>108170</v>
          </cell>
          <cell r="W351">
            <v>115030</v>
          </cell>
          <cell r="X351">
            <v>115050</v>
          </cell>
          <cell r="Y351">
            <v>114950</v>
          </cell>
          <cell r="Z351">
            <v>115000</v>
          </cell>
          <cell r="AA351">
            <v>110220</v>
          </cell>
          <cell r="AB351">
            <v>110240</v>
          </cell>
          <cell r="AC351">
            <v>110130</v>
          </cell>
          <cell r="AD351">
            <v>110150</v>
          </cell>
          <cell r="AE351">
            <v>111240</v>
          </cell>
          <cell r="AF351">
            <v>111250</v>
          </cell>
          <cell r="AG351">
            <v>111230</v>
          </cell>
          <cell r="AH351">
            <v>111240</v>
          </cell>
        </row>
        <row r="352">
          <cell r="S352">
            <v>108140</v>
          </cell>
          <cell r="T352">
            <v>108140</v>
          </cell>
          <cell r="U352">
            <v>108050</v>
          </cell>
          <cell r="V352">
            <v>108050</v>
          </cell>
          <cell r="W352">
            <v>115000</v>
          </cell>
          <cell r="X352">
            <v>115000</v>
          </cell>
          <cell r="Y352">
            <v>114920</v>
          </cell>
          <cell r="Z352">
            <v>114950</v>
          </cell>
          <cell r="AA352">
            <v>110150</v>
          </cell>
          <cell r="AB352">
            <v>110200</v>
          </cell>
          <cell r="AC352">
            <v>110130</v>
          </cell>
          <cell r="AD352">
            <v>110170</v>
          </cell>
          <cell r="AE352">
            <v>111230</v>
          </cell>
          <cell r="AF352">
            <v>111230</v>
          </cell>
          <cell r="AG352">
            <v>111160</v>
          </cell>
          <cell r="AH352">
            <v>111170</v>
          </cell>
        </row>
        <row r="353">
          <cell r="S353">
            <v>108070</v>
          </cell>
          <cell r="T353">
            <v>108070</v>
          </cell>
          <cell r="U353">
            <v>108060</v>
          </cell>
          <cell r="V353">
            <v>108060</v>
          </cell>
          <cell r="W353">
            <v>114950</v>
          </cell>
          <cell r="X353">
            <v>114970</v>
          </cell>
          <cell r="Y353">
            <v>114930</v>
          </cell>
          <cell r="Z353">
            <v>114940</v>
          </cell>
          <cell r="AA353">
            <v>110180</v>
          </cell>
          <cell r="AB353">
            <v>110180</v>
          </cell>
          <cell r="AC353">
            <v>110110</v>
          </cell>
          <cell r="AD353">
            <v>110120</v>
          </cell>
          <cell r="AE353">
            <v>111180</v>
          </cell>
          <cell r="AF353">
            <v>111210</v>
          </cell>
          <cell r="AG353">
            <v>111140</v>
          </cell>
          <cell r="AH353">
            <v>111190</v>
          </cell>
        </row>
        <row r="354">
          <cell r="S354">
            <v>108060</v>
          </cell>
          <cell r="T354">
            <v>108060</v>
          </cell>
          <cell r="U354">
            <v>108050</v>
          </cell>
          <cell r="V354">
            <v>108050</v>
          </cell>
          <cell r="W354">
            <v>114920</v>
          </cell>
          <cell r="X354">
            <v>114980</v>
          </cell>
          <cell r="Y354">
            <v>114920</v>
          </cell>
          <cell r="Z354">
            <v>114980</v>
          </cell>
          <cell r="AA354">
            <v>110120</v>
          </cell>
          <cell r="AB354">
            <v>110170</v>
          </cell>
          <cell r="AC354">
            <v>110120</v>
          </cell>
          <cell r="AD354">
            <v>110160</v>
          </cell>
          <cell r="AE354">
            <v>111190</v>
          </cell>
          <cell r="AF354">
            <v>111230</v>
          </cell>
          <cell r="AG354">
            <v>111190</v>
          </cell>
          <cell r="AH354">
            <v>111200</v>
          </cell>
        </row>
        <row r="355">
          <cell r="S355">
            <v>108100</v>
          </cell>
          <cell r="T355">
            <v>108100</v>
          </cell>
          <cell r="U355">
            <v>108080</v>
          </cell>
          <cell r="V355">
            <v>108080</v>
          </cell>
          <cell r="W355">
            <v>114970</v>
          </cell>
          <cell r="X355">
            <v>115000</v>
          </cell>
          <cell r="Y355">
            <v>114930</v>
          </cell>
          <cell r="Z355">
            <v>114950</v>
          </cell>
          <cell r="AA355">
            <v>110150</v>
          </cell>
          <cell r="AB355">
            <v>110230</v>
          </cell>
          <cell r="AC355">
            <v>110140</v>
          </cell>
          <cell r="AD355">
            <v>110200</v>
          </cell>
          <cell r="AE355">
            <v>111190</v>
          </cell>
          <cell r="AF355">
            <v>111200</v>
          </cell>
          <cell r="AG355">
            <v>111150</v>
          </cell>
          <cell r="AH355">
            <v>111200</v>
          </cell>
        </row>
        <row r="356">
          <cell r="S356">
            <v>108140</v>
          </cell>
          <cell r="T356">
            <v>108150</v>
          </cell>
          <cell r="U356">
            <v>108140</v>
          </cell>
          <cell r="V356">
            <v>108150</v>
          </cell>
          <cell r="W356">
            <v>114940</v>
          </cell>
          <cell r="X356">
            <v>114940</v>
          </cell>
          <cell r="Y356">
            <v>114870</v>
          </cell>
          <cell r="Z356">
            <v>114890</v>
          </cell>
          <cell r="AA356">
            <v>110220</v>
          </cell>
          <cell r="AB356">
            <v>110260</v>
          </cell>
          <cell r="AC356">
            <v>110220</v>
          </cell>
          <cell r="AD356">
            <v>110240</v>
          </cell>
          <cell r="AE356">
            <v>111190</v>
          </cell>
          <cell r="AF356">
            <v>111250</v>
          </cell>
          <cell r="AG356">
            <v>111170</v>
          </cell>
          <cell r="AH356">
            <v>111230</v>
          </cell>
        </row>
        <row r="357">
          <cell r="S357">
            <v>108180</v>
          </cell>
          <cell r="T357">
            <v>108180</v>
          </cell>
          <cell r="U357">
            <v>108120</v>
          </cell>
          <cell r="V357">
            <v>108120</v>
          </cell>
          <cell r="W357">
            <v>114890</v>
          </cell>
          <cell r="X357">
            <v>115070</v>
          </cell>
          <cell r="Y357">
            <v>114870</v>
          </cell>
          <cell r="Z357">
            <v>114960</v>
          </cell>
          <cell r="AA357">
            <v>110250</v>
          </cell>
          <cell r="AB357">
            <v>110290</v>
          </cell>
          <cell r="AC357">
            <v>110220</v>
          </cell>
          <cell r="AD357">
            <v>110230</v>
          </cell>
          <cell r="AE357">
            <v>111230</v>
          </cell>
          <cell r="AF357">
            <v>111230</v>
          </cell>
          <cell r="AG357">
            <v>111090</v>
          </cell>
          <cell r="AH357">
            <v>111090</v>
          </cell>
        </row>
        <row r="358">
          <cell r="S358">
            <v>108130</v>
          </cell>
          <cell r="T358">
            <v>108250</v>
          </cell>
          <cell r="U358">
            <v>108130</v>
          </cell>
          <cell r="V358">
            <v>108220</v>
          </cell>
          <cell r="W358">
            <v>114960</v>
          </cell>
          <cell r="X358">
            <v>115010</v>
          </cell>
          <cell r="Y358">
            <v>114920</v>
          </cell>
          <cell r="Z358">
            <v>114970</v>
          </cell>
          <cell r="AA358">
            <v>110240</v>
          </cell>
          <cell r="AB358">
            <v>110240</v>
          </cell>
          <cell r="AC358">
            <v>110170</v>
          </cell>
          <cell r="AD358">
            <v>110230</v>
          </cell>
          <cell r="AE358">
            <v>111090</v>
          </cell>
          <cell r="AF358">
            <v>111130</v>
          </cell>
          <cell r="AG358">
            <v>111060</v>
          </cell>
          <cell r="AH358">
            <v>111090</v>
          </cell>
        </row>
        <row r="359">
          <cell r="S359">
            <v>108220</v>
          </cell>
          <cell r="T359">
            <v>108220</v>
          </cell>
          <cell r="U359">
            <v>108170</v>
          </cell>
          <cell r="V359">
            <v>108170</v>
          </cell>
          <cell r="W359">
            <v>114960</v>
          </cell>
          <cell r="X359">
            <v>114990</v>
          </cell>
          <cell r="Y359">
            <v>114920</v>
          </cell>
          <cell r="Z359">
            <v>114950</v>
          </cell>
          <cell r="AA359">
            <v>110230</v>
          </cell>
          <cell r="AB359">
            <v>110300</v>
          </cell>
          <cell r="AC359">
            <v>110230</v>
          </cell>
          <cell r="AD359">
            <v>110280</v>
          </cell>
          <cell r="AE359">
            <v>111080</v>
          </cell>
          <cell r="AF359">
            <v>111150</v>
          </cell>
          <cell r="AG359">
            <v>111070</v>
          </cell>
          <cell r="AH359">
            <v>111080</v>
          </cell>
        </row>
        <row r="360">
          <cell r="S360">
            <v>108180</v>
          </cell>
          <cell r="T360">
            <v>108180</v>
          </cell>
          <cell r="U360">
            <v>108180</v>
          </cell>
          <cell r="V360">
            <v>108180</v>
          </cell>
          <cell r="W360">
            <v>114940</v>
          </cell>
          <cell r="X360">
            <v>114950</v>
          </cell>
          <cell r="Y360">
            <v>114890</v>
          </cell>
          <cell r="Z360">
            <v>114910</v>
          </cell>
          <cell r="AA360">
            <v>110290</v>
          </cell>
          <cell r="AB360">
            <v>110300</v>
          </cell>
          <cell r="AC360">
            <v>110250</v>
          </cell>
          <cell r="AD360">
            <v>110270</v>
          </cell>
          <cell r="AE360">
            <v>111080</v>
          </cell>
          <cell r="AF360">
            <v>111100</v>
          </cell>
          <cell r="AG360">
            <v>111020</v>
          </cell>
          <cell r="AH360">
            <v>111030</v>
          </cell>
        </row>
        <row r="361">
          <cell r="S361">
            <v>108240</v>
          </cell>
          <cell r="T361">
            <v>108260</v>
          </cell>
          <cell r="U361">
            <v>108200</v>
          </cell>
          <cell r="V361">
            <v>108260</v>
          </cell>
          <cell r="W361">
            <v>114900</v>
          </cell>
          <cell r="X361">
            <v>114960</v>
          </cell>
          <cell r="Y361">
            <v>114890</v>
          </cell>
          <cell r="Z361">
            <v>114930</v>
          </cell>
          <cell r="AA361">
            <v>110280</v>
          </cell>
          <cell r="AB361">
            <v>110300</v>
          </cell>
          <cell r="AC361">
            <v>110270</v>
          </cell>
          <cell r="AD361">
            <v>110290</v>
          </cell>
          <cell r="AE361">
            <v>111030</v>
          </cell>
          <cell r="AF361">
            <v>111100</v>
          </cell>
          <cell r="AG361">
            <v>111010</v>
          </cell>
          <cell r="AH361">
            <v>111080</v>
          </cell>
        </row>
        <row r="362">
          <cell r="S362">
            <v>108270</v>
          </cell>
          <cell r="T362">
            <v>108290</v>
          </cell>
          <cell r="U362">
            <v>108270</v>
          </cell>
          <cell r="V362">
            <v>108290</v>
          </cell>
          <cell r="W362">
            <v>114930</v>
          </cell>
          <cell r="X362">
            <v>114990</v>
          </cell>
          <cell r="Y362">
            <v>114910</v>
          </cell>
          <cell r="Z362">
            <v>114960</v>
          </cell>
          <cell r="AA362">
            <v>110280</v>
          </cell>
          <cell r="AB362">
            <v>110380</v>
          </cell>
          <cell r="AC362">
            <v>110280</v>
          </cell>
          <cell r="AD362">
            <v>110330</v>
          </cell>
          <cell r="AE362">
            <v>111070</v>
          </cell>
          <cell r="AF362">
            <v>111100</v>
          </cell>
          <cell r="AG362">
            <v>111030</v>
          </cell>
          <cell r="AH362">
            <v>111090</v>
          </cell>
        </row>
        <row r="363">
          <cell r="S363">
            <v>108350</v>
          </cell>
          <cell r="T363">
            <v>108410</v>
          </cell>
          <cell r="U363">
            <v>108350</v>
          </cell>
          <cell r="V363">
            <v>108390</v>
          </cell>
          <cell r="W363">
            <v>114970</v>
          </cell>
          <cell r="X363">
            <v>114990</v>
          </cell>
          <cell r="Y363">
            <v>114930</v>
          </cell>
          <cell r="Z363">
            <v>114970</v>
          </cell>
          <cell r="AA363">
            <v>110340</v>
          </cell>
          <cell r="AB363">
            <v>110400</v>
          </cell>
          <cell r="AC363">
            <v>110320</v>
          </cell>
          <cell r="AD363">
            <v>110360</v>
          </cell>
          <cell r="AE363">
            <v>111090</v>
          </cell>
          <cell r="AF363">
            <v>111110</v>
          </cell>
          <cell r="AG363">
            <v>111030</v>
          </cell>
          <cell r="AH363">
            <v>111110</v>
          </cell>
        </row>
        <row r="364">
          <cell r="S364">
            <v>108400</v>
          </cell>
          <cell r="T364">
            <v>108490</v>
          </cell>
          <cell r="U364">
            <v>108400</v>
          </cell>
          <cell r="V364">
            <v>108470</v>
          </cell>
          <cell r="W364">
            <v>114970</v>
          </cell>
          <cell r="X364">
            <v>114990</v>
          </cell>
          <cell r="Y364">
            <v>114920</v>
          </cell>
          <cell r="Z364">
            <v>114940</v>
          </cell>
          <cell r="AA364">
            <v>110360</v>
          </cell>
          <cell r="AB364">
            <v>110480</v>
          </cell>
          <cell r="AC364">
            <v>110350</v>
          </cell>
          <cell r="AD364">
            <v>110470</v>
          </cell>
          <cell r="AE364">
            <v>111100</v>
          </cell>
          <cell r="AF364">
            <v>111170</v>
          </cell>
          <cell r="AG364">
            <v>111100</v>
          </cell>
          <cell r="AH364">
            <v>111120</v>
          </cell>
        </row>
        <row r="365">
          <cell r="S365">
            <v>108490</v>
          </cell>
          <cell r="T365">
            <v>108500</v>
          </cell>
          <cell r="U365">
            <v>108420</v>
          </cell>
          <cell r="V365">
            <v>108450</v>
          </cell>
          <cell r="W365">
            <v>114940</v>
          </cell>
          <cell r="X365">
            <v>115000</v>
          </cell>
          <cell r="Y365">
            <v>114940</v>
          </cell>
          <cell r="Z365">
            <v>114970</v>
          </cell>
          <cell r="AA365">
            <v>110470</v>
          </cell>
          <cell r="AB365">
            <v>110520</v>
          </cell>
          <cell r="AC365">
            <v>110450</v>
          </cell>
          <cell r="AD365">
            <v>110500</v>
          </cell>
          <cell r="AE365">
            <v>111120</v>
          </cell>
          <cell r="AF365">
            <v>111160</v>
          </cell>
          <cell r="AG365">
            <v>111100</v>
          </cell>
          <cell r="AH365">
            <v>111150</v>
          </cell>
        </row>
        <row r="366">
          <cell r="S366">
            <v>108470</v>
          </cell>
          <cell r="T366">
            <v>108500</v>
          </cell>
          <cell r="U366">
            <v>108470</v>
          </cell>
          <cell r="V366">
            <v>108500</v>
          </cell>
          <cell r="W366">
            <v>114970</v>
          </cell>
          <cell r="X366">
            <v>115040</v>
          </cell>
          <cell r="Y366">
            <v>114960</v>
          </cell>
          <cell r="Z366">
            <v>115010</v>
          </cell>
          <cell r="AA366">
            <v>110510</v>
          </cell>
          <cell r="AB366">
            <v>110540</v>
          </cell>
          <cell r="AC366">
            <v>110440</v>
          </cell>
          <cell r="AD366">
            <v>110460</v>
          </cell>
          <cell r="AE366">
            <v>111160</v>
          </cell>
          <cell r="AF366">
            <v>111200</v>
          </cell>
          <cell r="AG366">
            <v>111150</v>
          </cell>
          <cell r="AH366">
            <v>111180</v>
          </cell>
        </row>
        <row r="367">
          <cell r="S367">
            <v>108500</v>
          </cell>
          <cell r="T367">
            <v>108590</v>
          </cell>
          <cell r="U367">
            <v>108500</v>
          </cell>
          <cell r="V367">
            <v>108570</v>
          </cell>
          <cell r="W367">
            <v>115010</v>
          </cell>
          <cell r="X367">
            <v>115080</v>
          </cell>
          <cell r="Y367">
            <v>114980</v>
          </cell>
          <cell r="Z367">
            <v>114990</v>
          </cell>
          <cell r="AA367">
            <v>110450</v>
          </cell>
          <cell r="AB367">
            <v>110520</v>
          </cell>
          <cell r="AC367">
            <v>110450</v>
          </cell>
          <cell r="AD367">
            <v>110510</v>
          </cell>
          <cell r="AE367">
            <v>111190</v>
          </cell>
          <cell r="AF367">
            <v>111240</v>
          </cell>
          <cell r="AG367">
            <v>111160</v>
          </cell>
          <cell r="AH367">
            <v>111230</v>
          </cell>
        </row>
        <row r="368">
          <cell r="S368">
            <v>108570</v>
          </cell>
          <cell r="T368">
            <v>108590</v>
          </cell>
          <cell r="U368">
            <v>108530</v>
          </cell>
          <cell r="V368">
            <v>108530</v>
          </cell>
          <cell r="W368">
            <v>114990</v>
          </cell>
          <cell r="X368">
            <v>115000</v>
          </cell>
          <cell r="Y368">
            <v>114960</v>
          </cell>
          <cell r="Z368">
            <v>114990</v>
          </cell>
          <cell r="AA368">
            <v>110500</v>
          </cell>
          <cell r="AB368">
            <v>110560</v>
          </cell>
          <cell r="AC368">
            <v>110490</v>
          </cell>
          <cell r="AD368">
            <v>110550</v>
          </cell>
          <cell r="AE368">
            <v>111220</v>
          </cell>
          <cell r="AF368">
            <v>111280</v>
          </cell>
          <cell r="AG368">
            <v>111200</v>
          </cell>
          <cell r="AH368">
            <v>111230</v>
          </cell>
        </row>
        <row r="369">
          <cell r="S369">
            <v>108520</v>
          </cell>
          <cell r="T369">
            <v>108530</v>
          </cell>
          <cell r="U369">
            <v>108510</v>
          </cell>
          <cell r="V369">
            <v>108530</v>
          </cell>
          <cell r="W369">
            <v>114980</v>
          </cell>
          <cell r="X369">
            <v>115020</v>
          </cell>
          <cell r="Y369">
            <v>114960</v>
          </cell>
          <cell r="Z369">
            <v>114980</v>
          </cell>
          <cell r="AA369">
            <v>110560</v>
          </cell>
          <cell r="AB369">
            <v>110560</v>
          </cell>
          <cell r="AC369">
            <v>110460</v>
          </cell>
          <cell r="AD369">
            <v>110460</v>
          </cell>
          <cell r="AE369">
            <v>111240</v>
          </cell>
          <cell r="AF369">
            <v>111240</v>
          </cell>
          <cell r="AG369">
            <v>111200</v>
          </cell>
          <cell r="AH369">
            <v>111230</v>
          </cell>
        </row>
        <row r="370">
          <cell r="S370">
            <v>108540</v>
          </cell>
          <cell r="T370">
            <v>108580</v>
          </cell>
          <cell r="U370">
            <v>108530</v>
          </cell>
          <cell r="V370">
            <v>108580</v>
          </cell>
          <cell r="W370">
            <v>114960</v>
          </cell>
          <cell r="X370">
            <v>115050</v>
          </cell>
          <cell r="Y370">
            <v>114960</v>
          </cell>
          <cell r="Z370">
            <v>115010</v>
          </cell>
          <cell r="AA370">
            <v>110470</v>
          </cell>
          <cell r="AB370">
            <v>110490</v>
          </cell>
          <cell r="AC370">
            <v>110420</v>
          </cell>
          <cell r="AD370">
            <v>110460</v>
          </cell>
          <cell r="AE370">
            <v>111230</v>
          </cell>
          <cell r="AF370">
            <v>111260</v>
          </cell>
          <cell r="AG370">
            <v>111200</v>
          </cell>
          <cell r="AH370">
            <v>111240</v>
          </cell>
        </row>
        <row r="371">
          <cell r="S371">
            <v>108550</v>
          </cell>
          <cell r="T371">
            <v>108550</v>
          </cell>
          <cell r="U371">
            <v>108520</v>
          </cell>
          <cell r="V371">
            <v>108520</v>
          </cell>
          <cell r="W371">
            <v>115020</v>
          </cell>
          <cell r="X371">
            <v>115150</v>
          </cell>
          <cell r="Y371">
            <v>115020</v>
          </cell>
          <cell r="Z371">
            <v>115150</v>
          </cell>
          <cell r="AA371">
            <v>110470</v>
          </cell>
          <cell r="AB371">
            <v>110470</v>
          </cell>
          <cell r="AC371">
            <v>110430</v>
          </cell>
          <cell r="AD371">
            <v>110440</v>
          </cell>
          <cell r="AE371">
            <v>111230</v>
          </cell>
          <cell r="AF371">
            <v>111310</v>
          </cell>
          <cell r="AG371">
            <v>111210</v>
          </cell>
          <cell r="AH371">
            <v>111270</v>
          </cell>
        </row>
        <row r="372">
          <cell r="S372">
            <v>108520</v>
          </cell>
          <cell r="T372">
            <v>108530</v>
          </cell>
          <cell r="U372">
            <v>108510</v>
          </cell>
          <cell r="V372">
            <v>108520</v>
          </cell>
          <cell r="W372">
            <v>115140</v>
          </cell>
          <cell r="X372">
            <v>115150</v>
          </cell>
          <cell r="Y372">
            <v>115040</v>
          </cell>
          <cell r="Z372">
            <v>115060</v>
          </cell>
          <cell r="AA372">
            <v>110440</v>
          </cell>
          <cell r="AB372">
            <v>110500</v>
          </cell>
          <cell r="AC372">
            <v>110440</v>
          </cell>
          <cell r="AD372">
            <v>110460</v>
          </cell>
          <cell r="AE372">
            <v>111280</v>
          </cell>
          <cell r="AF372">
            <v>111310</v>
          </cell>
          <cell r="AG372">
            <v>111240</v>
          </cell>
          <cell r="AH372">
            <v>111300</v>
          </cell>
        </row>
        <row r="373">
          <cell r="S373">
            <v>108520</v>
          </cell>
          <cell r="T373">
            <v>108520</v>
          </cell>
          <cell r="U373">
            <v>108460</v>
          </cell>
          <cell r="V373">
            <v>108510</v>
          </cell>
          <cell r="W373">
            <v>115050</v>
          </cell>
          <cell r="X373">
            <v>115060</v>
          </cell>
          <cell r="Y373">
            <v>115000</v>
          </cell>
          <cell r="Z373">
            <v>115000</v>
          </cell>
          <cell r="AA373">
            <v>110460</v>
          </cell>
          <cell r="AB373">
            <v>110500</v>
          </cell>
          <cell r="AC373">
            <v>110460</v>
          </cell>
          <cell r="AD373">
            <v>110470</v>
          </cell>
          <cell r="AE373">
            <v>111300</v>
          </cell>
          <cell r="AF373">
            <v>111330</v>
          </cell>
          <cell r="AG373">
            <v>111270</v>
          </cell>
          <cell r="AH373">
            <v>111290</v>
          </cell>
        </row>
        <row r="374">
          <cell r="S374">
            <v>108500</v>
          </cell>
          <cell r="T374">
            <v>108510</v>
          </cell>
          <cell r="U374">
            <v>108500</v>
          </cell>
          <cell r="V374">
            <v>108500</v>
          </cell>
          <cell r="W374">
            <v>115010</v>
          </cell>
          <cell r="X374">
            <v>115060</v>
          </cell>
          <cell r="Y374">
            <v>114980</v>
          </cell>
          <cell r="Z374">
            <v>115020</v>
          </cell>
          <cell r="AA374">
            <v>110460</v>
          </cell>
          <cell r="AB374">
            <v>110550</v>
          </cell>
          <cell r="AC374">
            <v>110460</v>
          </cell>
          <cell r="AD374">
            <v>110510</v>
          </cell>
          <cell r="AE374">
            <v>111280</v>
          </cell>
          <cell r="AF374">
            <v>111300</v>
          </cell>
          <cell r="AG374">
            <v>111260</v>
          </cell>
          <cell r="AH374">
            <v>111270</v>
          </cell>
        </row>
        <row r="375">
          <cell r="S375">
            <v>108490</v>
          </cell>
          <cell r="T375">
            <v>108490</v>
          </cell>
          <cell r="U375">
            <v>108460</v>
          </cell>
          <cell r="V375">
            <v>108460</v>
          </cell>
          <cell r="W375">
            <v>115020</v>
          </cell>
          <cell r="X375">
            <v>115050</v>
          </cell>
          <cell r="Y375">
            <v>114980</v>
          </cell>
          <cell r="Z375">
            <v>115050</v>
          </cell>
          <cell r="AA375">
            <v>110510</v>
          </cell>
          <cell r="AB375">
            <v>110610</v>
          </cell>
          <cell r="AC375">
            <v>110500</v>
          </cell>
          <cell r="AD375">
            <v>110580</v>
          </cell>
          <cell r="AE375">
            <v>111270</v>
          </cell>
          <cell r="AF375">
            <v>111310</v>
          </cell>
          <cell r="AG375">
            <v>111260</v>
          </cell>
          <cell r="AH375">
            <v>111280</v>
          </cell>
        </row>
        <row r="376">
          <cell r="S376">
            <v>108430</v>
          </cell>
          <cell r="T376">
            <v>108440</v>
          </cell>
          <cell r="U376">
            <v>108400</v>
          </cell>
          <cell r="V376">
            <v>108400</v>
          </cell>
          <cell r="W376">
            <v>115050</v>
          </cell>
          <cell r="X376">
            <v>115060</v>
          </cell>
          <cell r="Y376">
            <v>115000</v>
          </cell>
          <cell r="Z376">
            <v>115020</v>
          </cell>
          <cell r="AA376">
            <v>110560</v>
          </cell>
          <cell r="AB376">
            <v>110650</v>
          </cell>
          <cell r="AC376">
            <v>110550</v>
          </cell>
          <cell r="AD376">
            <v>110600</v>
          </cell>
          <cell r="AE376">
            <v>111280</v>
          </cell>
          <cell r="AF376">
            <v>111300</v>
          </cell>
          <cell r="AG376">
            <v>111270</v>
          </cell>
          <cell r="AH376">
            <v>111290</v>
          </cell>
        </row>
        <row r="377">
          <cell r="S377">
            <v>108380</v>
          </cell>
          <cell r="T377">
            <v>108390</v>
          </cell>
          <cell r="U377">
            <v>108320</v>
          </cell>
          <cell r="V377">
            <v>108340</v>
          </cell>
          <cell r="W377">
            <v>115020</v>
          </cell>
          <cell r="X377">
            <v>115050</v>
          </cell>
          <cell r="Y377">
            <v>115000</v>
          </cell>
          <cell r="Z377">
            <v>115050</v>
          </cell>
          <cell r="AA377">
            <v>110580</v>
          </cell>
          <cell r="AB377">
            <v>110770</v>
          </cell>
          <cell r="AC377">
            <v>110570</v>
          </cell>
          <cell r="AD377">
            <v>110640</v>
          </cell>
          <cell r="AE377">
            <v>111290</v>
          </cell>
          <cell r="AF377">
            <v>111330</v>
          </cell>
          <cell r="AG377">
            <v>111290</v>
          </cell>
          <cell r="AH377">
            <v>111300</v>
          </cell>
        </row>
        <row r="378">
          <cell r="S378">
            <v>108360</v>
          </cell>
          <cell r="T378">
            <v>108360</v>
          </cell>
          <cell r="U378">
            <v>108360</v>
          </cell>
          <cell r="V378">
            <v>108360</v>
          </cell>
          <cell r="W378">
            <v>115050</v>
          </cell>
          <cell r="X378">
            <v>115080</v>
          </cell>
          <cell r="Y378">
            <v>115050</v>
          </cell>
          <cell r="Z378">
            <v>115060</v>
          </cell>
          <cell r="AA378">
            <v>110640</v>
          </cell>
          <cell r="AB378">
            <v>110670</v>
          </cell>
          <cell r="AC378">
            <v>110520</v>
          </cell>
          <cell r="AD378">
            <v>110530</v>
          </cell>
          <cell r="AE378">
            <v>111290</v>
          </cell>
          <cell r="AF378">
            <v>111290</v>
          </cell>
          <cell r="AG378">
            <v>111250</v>
          </cell>
          <cell r="AH378">
            <v>111270</v>
          </cell>
        </row>
        <row r="379">
          <cell r="S379">
            <v>108330</v>
          </cell>
          <cell r="T379">
            <v>108330</v>
          </cell>
          <cell r="U379">
            <v>108270</v>
          </cell>
          <cell r="V379">
            <v>108290</v>
          </cell>
          <cell r="W379">
            <v>115060</v>
          </cell>
          <cell r="X379">
            <v>115180</v>
          </cell>
          <cell r="Y379">
            <v>115060</v>
          </cell>
          <cell r="Z379">
            <v>115130</v>
          </cell>
          <cell r="AA379">
            <v>110520</v>
          </cell>
          <cell r="AB379">
            <v>110580</v>
          </cell>
          <cell r="AC379">
            <v>110480</v>
          </cell>
          <cell r="AD379">
            <v>110480</v>
          </cell>
          <cell r="AE379">
            <v>111270</v>
          </cell>
          <cell r="AF379">
            <v>111270</v>
          </cell>
          <cell r="AG379">
            <v>111230</v>
          </cell>
          <cell r="AH379">
            <v>111250</v>
          </cell>
        </row>
        <row r="380">
          <cell r="S380">
            <v>108310</v>
          </cell>
          <cell r="T380">
            <v>108350</v>
          </cell>
          <cell r="U380">
            <v>108310</v>
          </cell>
          <cell r="V380">
            <v>108350</v>
          </cell>
          <cell r="W380">
            <v>115130</v>
          </cell>
          <cell r="X380">
            <v>115150</v>
          </cell>
          <cell r="Y380">
            <v>115090</v>
          </cell>
          <cell r="Z380">
            <v>115090</v>
          </cell>
          <cell r="AA380">
            <v>110480</v>
          </cell>
          <cell r="AB380">
            <v>110490</v>
          </cell>
          <cell r="AC380">
            <v>110420</v>
          </cell>
          <cell r="AD380">
            <v>110440</v>
          </cell>
          <cell r="AE380">
            <v>111240</v>
          </cell>
          <cell r="AF380">
            <v>111270</v>
          </cell>
          <cell r="AG380">
            <v>111220</v>
          </cell>
          <cell r="AH380">
            <v>111230</v>
          </cell>
        </row>
        <row r="381">
          <cell r="S381">
            <v>108320</v>
          </cell>
          <cell r="T381">
            <v>108320</v>
          </cell>
          <cell r="U381">
            <v>108290</v>
          </cell>
          <cell r="V381">
            <v>108290</v>
          </cell>
          <cell r="W381">
            <v>115090</v>
          </cell>
          <cell r="X381">
            <v>115220</v>
          </cell>
          <cell r="Y381">
            <v>115080</v>
          </cell>
          <cell r="Z381">
            <v>115140</v>
          </cell>
          <cell r="AA381">
            <v>110430</v>
          </cell>
          <cell r="AB381">
            <v>110510</v>
          </cell>
          <cell r="AC381">
            <v>110430</v>
          </cell>
          <cell r="AD381">
            <v>110450</v>
          </cell>
          <cell r="AE381">
            <v>111230</v>
          </cell>
          <cell r="AF381">
            <v>111250</v>
          </cell>
          <cell r="AG381">
            <v>111220</v>
          </cell>
          <cell r="AH381">
            <v>111250</v>
          </cell>
        </row>
        <row r="382">
          <cell r="S382">
            <v>108300</v>
          </cell>
          <cell r="T382">
            <v>108330</v>
          </cell>
          <cell r="U382">
            <v>108300</v>
          </cell>
          <cell r="V382">
            <v>108330</v>
          </cell>
          <cell r="W382">
            <v>115160</v>
          </cell>
          <cell r="X382">
            <v>115370</v>
          </cell>
          <cell r="Y382">
            <v>115150</v>
          </cell>
          <cell r="Z382">
            <v>115230</v>
          </cell>
          <cell r="AA382">
            <v>110450</v>
          </cell>
          <cell r="AB382">
            <v>110500</v>
          </cell>
          <cell r="AC382">
            <v>110440</v>
          </cell>
          <cell r="AD382">
            <v>110480</v>
          </cell>
          <cell r="AE382">
            <v>111250</v>
          </cell>
          <cell r="AF382">
            <v>111280</v>
          </cell>
          <cell r="AG382">
            <v>111230</v>
          </cell>
          <cell r="AH382">
            <v>111260</v>
          </cell>
        </row>
        <row r="383">
          <cell r="S383">
            <v>108330</v>
          </cell>
          <cell r="T383">
            <v>108330</v>
          </cell>
          <cell r="U383">
            <v>108300</v>
          </cell>
          <cell r="V383">
            <v>108330</v>
          </cell>
          <cell r="W383">
            <v>115220</v>
          </cell>
          <cell r="X383">
            <v>115240</v>
          </cell>
          <cell r="Y383">
            <v>115190</v>
          </cell>
          <cell r="Z383">
            <v>115200</v>
          </cell>
          <cell r="AA383">
            <v>110490</v>
          </cell>
          <cell r="AB383">
            <v>110510</v>
          </cell>
          <cell r="AC383">
            <v>110470</v>
          </cell>
          <cell r="AD383">
            <v>110500</v>
          </cell>
          <cell r="AE383">
            <v>111260</v>
          </cell>
          <cell r="AF383">
            <v>111270</v>
          </cell>
          <cell r="AG383">
            <v>111230</v>
          </cell>
          <cell r="AH383">
            <v>111250</v>
          </cell>
        </row>
        <row r="384">
          <cell r="S384">
            <v>108300</v>
          </cell>
          <cell r="T384">
            <v>108310</v>
          </cell>
          <cell r="U384">
            <v>108250</v>
          </cell>
          <cell r="V384">
            <v>108250</v>
          </cell>
          <cell r="W384">
            <v>115200</v>
          </cell>
          <cell r="X384">
            <v>115220</v>
          </cell>
          <cell r="Y384">
            <v>115160</v>
          </cell>
          <cell r="Z384">
            <v>115170</v>
          </cell>
          <cell r="AA384">
            <v>110490</v>
          </cell>
          <cell r="AB384">
            <v>110510</v>
          </cell>
          <cell r="AC384">
            <v>110460</v>
          </cell>
          <cell r="AD384">
            <v>110480</v>
          </cell>
          <cell r="AE384">
            <v>111240</v>
          </cell>
          <cell r="AF384">
            <v>111250</v>
          </cell>
          <cell r="AG384">
            <v>111170</v>
          </cell>
          <cell r="AH384">
            <v>111180</v>
          </cell>
        </row>
        <row r="385">
          <cell r="S385">
            <v>108250</v>
          </cell>
          <cell r="T385">
            <v>108270</v>
          </cell>
          <cell r="U385">
            <v>108240</v>
          </cell>
          <cell r="V385">
            <v>108240</v>
          </cell>
          <cell r="W385">
            <v>115170</v>
          </cell>
          <cell r="X385">
            <v>115180</v>
          </cell>
          <cell r="Y385">
            <v>115140</v>
          </cell>
          <cell r="Z385">
            <v>115170</v>
          </cell>
          <cell r="AA385">
            <v>110490</v>
          </cell>
          <cell r="AB385">
            <v>110500</v>
          </cell>
          <cell r="AC385">
            <v>110470</v>
          </cell>
          <cell r="AD385">
            <v>110500</v>
          </cell>
          <cell r="AE385">
            <v>111180</v>
          </cell>
          <cell r="AF385">
            <v>111220</v>
          </cell>
          <cell r="AG385">
            <v>111180</v>
          </cell>
          <cell r="AH385">
            <v>111210</v>
          </cell>
        </row>
        <row r="386">
          <cell r="S386">
            <v>108250</v>
          </cell>
          <cell r="T386">
            <v>108250</v>
          </cell>
          <cell r="U386">
            <v>108210</v>
          </cell>
          <cell r="V386">
            <v>108210</v>
          </cell>
          <cell r="W386">
            <v>115180</v>
          </cell>
          <cell r="X386">
            <v>115180</v>
          </cell>
          <cell r="Y386">
            <v>115130</v>
          </cell>
          <cell r="Z386">
            <v>115150</v>
          </cell>
          <cell r="AA386">
            <v>110500</v>
          </cell>
          <cell r="AB386">
            <v>110660</v>
          </cell>
          <cell r="AC386">
            <v>110500</v>
          </cell>
          <cell r="AD386">
            <v>110640</v>
          </cell>
          <cell r="AE386">
            <v>111200</v>
          </cell>
          <cell r="AF386">
            <v>111220</v>
          </cell>
          <cell r="AG386">
            <v>111180</v>
          </cell>
          <cell r="AH386">
            <v>111200</v>
          </cell>
        </row>
        <row r="387">
          <cell r="S387">
            <v>108250</v>
          </cell>
          <cell r="T387">
            <v>108260</v>
          </cell>
          <cell r="U387">
            <v>108200</v>
          </cell>
          <cell r="V387">
            <v>108200</v>
          </cell>
          <cell r="W387">
            <v>115150</v>
          </cell>
          <cell r="X387">
            <v>115150</v>
          </cell>
          <cell r="Y387">
            <v>115070</v>
          </cell>
          <cell r="Z387">
            <v>115150</v>
          </cell>
          <cell r="AA387">
            <v>110640</v>
          </cell>
          <cell r="AB387">
            <v>110980</v>
          </cell>
          <cell r="AC387">
            <v>110640</v>
          </cell>
          <cell r="AD387">
            <v>110910</v>
          </cell>
          <cell r="AE387">
            <v>111200</v>
          </cell>
          <cell r="AF387">
            <v>111210</v>
          </cell>
          <cell r="AG387">
            <v>111150</v>
          </cell>
          <cell r="AH387">
            <v>111180</v>
          </cell>
        </row>
        <row r="388">
          <cell r="S388">
            <v>108200</v>
          </cell>
          <cell r="T388">
            <v>108200</v>
          </cell>
          <cell r="U388">
            <v>108200</v>
          </cell>
          <cell r="V388">
            <v>108200</v>
          </cell>
          <cell r="W388">
            <v>115140</v>
          </cell>
          <cell r="X388">
            <v>115270</v>
          </cell>
          <cell r="Y388">
            <v>115110</v>
          </cell>
          <cell r="Z388">
            <v>115260</v>
          </cell>
          <cell r="AA388">
            <v>110920</v>
          </cell>
          <cell r="AB388">
            <v>111030</v>
          </cell>
          <cell r="AC388">
            <v>110880</v>
          </cell>
          <cell r="AD388">
            <v>110900</v>
          </cell>
          <cell r="AE388">
            <v>111180</v>
          </cell>
          <cell r="AF388">
            <v>111250</v>
          </cell>
          <cell r="AG388">
            <v>111100</v>
          </cell>
          <cell r="AH388">
            <v>111170</v>
          </cell>
        </row>
        <row r="389">
          <cell r="S389">
            <v>108210</v>
          </cell>
          <cell r="T389">
            <v>108210</v>
          </cell>
          <cell r="U389">
            <v>108210</v>
          </cell>
          <cell r="V389">
            <v>108210</v>
          </cell>
          <cell r="W389">
            <v>115250</v>
          </cell>
          <cell r="X389">
            <v>115260</v>
          </cell>
          <cell r="Y389">
            <v>115080</v>
          </cell>
          <cell r="Z389">
            <v>115100</v>
          </cell>
          <cell r="AA389">
            <v>110910</v>
          </cell>
          <cell r="AB389">
            <v>110930</v>
          </cell>
          <cell r="AC389">
            <v>110780</v>
          </cell>
          <cell r="AD389">
            <v>110810</v>
          </cell>
          <cell r="AE389">
            <v>111180</v>
          </cell>
          <cell r="AF389">
            <v>111200</v>
          </cell>
          <cell r="AG389">
            <v>111120</v>
          </cell>
          <cell r="AH389">
            <v>111130</v>
          </cell>
        </row>
        <row r="390">
          <cell r="S390">
            <v>108200</v>
          </cell>
          <cell r="T390">
            <v>108200</v>
          </cell>
          <cell r="U390">
            <v>108160</v>
          </cell>
          <cell r="V390">
            <v>108180</v>
          </cell>
          <cell r="W390">
            <v>115100</v>
          </cell>
          <cell r="X390">
            <v>115180</v>
          </cell>
          <cell r="Y390">
            <v>115080</v>
          </cell>
          <cell r="Z390">
            <v>115110</v>
          </cell>
          <cell r="AA390">
            <v>110820</v>
          </cell>
          <cell r="AB390">
            <v>110860</v>
          </cell>
          <cell r="AC390">
            <v>110800</v>
          </cell>
          <cell r="AD390">
            <v>110820</v>
          </cell>
          <cell r="AE390">
            <v>111140</v>
          </cell>
          <cell r="AF390">
            <v>111190</v>
          </cell>
          <cell r="AG390">
            <v>111120</v>
          </cell>
          <cell r="AH390">
            <v>111160</v>
          </cell>
        </row>
        <row r="391">
          <cell r="S391">
            <v>108200</v>
          </cell>
          <cell r="T391">
            <v>108200</v>
          </cell>
          <cell r="U391">
            <v>108170</v>
          </cell>
          <cell r="V391">
            <v>108170</v>
          </cell>
          <cell r="W391">
            <v>115110</v>
          </cell>
          <cell r="X391">
            <v>115130</v>
          </cell>
          <cell r="Y391">
            <v>115020</v>
          </cell>
          <cell r="Z391">
            <v>115040</v>
          </cell>
          <cell r="AA391">
            <v>110820</v>
          </cell>
          <cell r="AB391">
            <v>110950</v>
          </cell>
          <cell r="AC391">
            <v>110800</v>
          </cell>
          <cell r="AD391">
            <v>110910</v>
          </cell>
          <cell r="AE391">
            <v>111160</v>
          </cell>
          <cell r="AF391">
            <v>111270</v>
          </cell>
          <cell r="AG391">
            <v>111150</v>
          </cell>
          <cell r="AH391">
            <v>111210</v>
          </cell>
        </row>
        <row r="392">
          <cell r="S392">
            <v>108190</v>
          </cell>
          <cell r="T392">
            <v>108200</v>
          </cell>
          <cell r="U392">
            <v>108150</v>
          </cell>
          <cell r="V392">
            <v>108150</v>
          </cell>
          <cell r="W392">
            <v>115060</v>
          </cell>
          <cell r="X392">
            <v>115220</v>
          </cell>
          <cell r="Y392">
            <v>115060</v>
          </cell>
          <cell r="Z392">
            <v>115080</v>
          </cell>
          <cell r="AA392">
            <v>110900</v>
          </cell>
          <cell r="AB392">
            <v>110970</v>
          </cell>
          <cell r="AC392">
            <v>110860</v>
          </cell>
          <cell r="AD392">
            <v>110870</v>
          </cell>
          <cell r="AE392">
            <v>111200</v>
          </cell>
          <cell r="AF392">
            <v>111260</v>
          </cell>
          <cell r="AG392">
            <v>111190</v>
          </cell>
          <cell r="AH392">
            <v>111250</v>
          </cell>
        </row>
        <row r="393">
          <cell r="S393">
            <v>108180</v>
          </cell>
          <cell r="T393">
            <v>108210</v>
          </cell>
          <cell r="U393">
            <v>108160</v>
          </cell>
          <cell r="V393">
            <v>108200</v>
          </cell>
          <cell r="W393">
            <v>115080</v>
          </cell>
          <cell r="X393">
            <v>115140</v>
          </cell>
          <cell r="Y393">
            <v>115070</v>
          </cell>
          <cell r="Z393">
            <v>115110</v>
          </cell>
          <cell r="AA393">
            <v>110880</v>
          </cell>
          <cell r="AB393">
            <v>110910</v>
          </cell>
          <cell r="AC393">
            <v>110840</v>
          </cell>
          <cell r="AD393">
            <v>110860</v>
          </cell>
          <cell r="AE393">
            <v>111250</v>
          </cell>
          <cell r="AF393">
            <v>111300</v>
          </cell>
          <cell r="AG393">
            <v>111240</v>
          </cell>
          <cell r="AH393">
            <v>111260</v>
          </cell>
        </row>
        <row r="394">
          <cell r="S394">
            <v>108200</v>
          </cell>
          <cell r="T394">
            <v>108200</v>
          </cell>
          <cell r="U394">
            <v>108140</v>
          </cell>
          <cell r="V394">
            <v>108140</v>
          </cell>
          <cell r="W394">
            <v>115100</v>
          </cell>
          <cell r="X394">
            <v>115200</v>
          </cell>
          <cell r="Y394">
            <v>115090</v>
          </cell>
          <cell r="Z394">
            <v>115100</v>
          </cell>
          <cell r="AA394">
            <v>110860</v>
          </cell>
          <cell r="AB394">
            <v>110980</v>
          </cell>
          <cell r="AC394">
            <v>110860</v>
          </cell>
          <cell r="AD394">
            <v>110890</v>
          </cell>
          <cell r="AE394">
            <v>111260</v>
          </cell>
          <cell r="AF394">
            <v>111280</v>
          </cell>
          <cell r="AG394">
            <v>111230</v>
          </cell>
          <cell r="AH394">
            <v>111260</v>
          </cell>
        </row>
        <row r="395">
          <cell r="S395">
            <v>108120</v>
          </cell>
          <cell r="T395">
            <v>108120</v>
          </cell>
          <cell r="U395">
            <v>108080</v>
          </cell>
          <cell r="V395">
            <v>108100</v>
          </cell>
          <cell r="W395">
            <v>115090</v>
          </cell>
          <cell r="X395">
            <v>115180</v>
          </cell>
          <cell r="Y395">
            <v>115070</v>
          </cell>
          <cell r="Z395">
            <v>115090</v>
          </cell>
          <cell r="AA395">
            <v>110900</v>
          </cell>
          <cell r="AB395">
            <v>110900</v>
          </cell>
          <cell r="AC395">
            <v>110850</v>
          </cell>
          <cell r="AD395">
            <v>110870</v>
          </cell>
          <cell r="AE395">
            <v>111250</v>
          </cell>
          <cell r="AF395">
            <v>111310</v>
          </cell>
          <cell r="AG395">
            <v>111250</v>
          </cell>
          <cell r="AH395">
            <v>111270</v>
          </cell>
        </row>
        <row r="396">
          <cell r="S396">
            <v>108150</v>
          </cell>
          <cell r="T396">
            <v>108160</v>
          </cell>
          <cell r="U396">
            <v>108120</v>
          </cell>
          <cell r="V396">
            <v>108120</v>
          </cell>
          <cell r="W396">
            <v>115090</v>
          </cell>
          <cell r="X396">
            <v>115110</v>
          </cell>
          <cell r="Y396">
            <v>115060</v>
          </cell>
          <cell r="Z396">
            <v>115100</v>
          </cell>
          <cell r="AA396">
            <v>110870</v>
          </cell>
          <cell r="AB396">
            <v>110920</v>
          </cell>
          <cell r="AC396">
            <v>110830</v>
          </cell>
          <cell r="AD396">
            <v>110850</v>
          </cell>
          <cell r="AE396">
            <v>111270</v>
          </cell>
          <cell r="AF396">
            <v>111280</v>
          </cell>
          <cell r="AG396">
            <v>111230</v>
          </cell>
          <cell r="AH396">
            <v>111260</v>
          </cell>
        </row>
        <row r="397">
          <cell r="S397">
            <v>108160</v>
          </cell>
          <cell r="T397">
            <v>108210</v>
          </cell>
          <cell r="U397">
            <v>108160</v>
          </cell>
          <cell r="V397">
            <v>108210</v>
          </cell>
          <cell r="W397">
            <v>115110</v>
          </cell>
          <cell r="X397">
            <v>115190</v>
          </cell>
          <cell r="Y397">
            <v>115030</v>
          </cell>
          <cell r="Z397">
            <v>115040</v>
          </cell>
          <cell r="AA397">
            <v>110850</v>
          </cell>
          <cell r="AB397">
            <v>110870</v>
          </cell>
          <cell r="AC397">
            <v>110770</v>
          </cell>
          <cell r="AD397">
            <v>110790</v>
          </cell>
          <cell r="AE397">
            <v>111250</v>
          </cell>
          <cell r="AF397">
            <v>111270</v>
          </cell>
          <cell r="AG397">
            <v>111230</v>
          </cell>
          <cell r="AH397">
            <v>111250</v>
          </cell>
        </row>
        <row r="398">
          <cell r="S398">
            <v>108180</v>
          </cell>
          <cell r="T398">
            <v>108180</v>
          </cell>
          <cell r="U398">
            <v>108120</v>
          </cell>
          <cell r="V398">
            <v>108120</v>
          </cell>
          <cell r="W398">
            <v>115040</v>
          </cell>
          <cell r="X398">
            <v>115120</v>
          </cell>
          <cell r="Y398">
            <v>115030</v>
          </cell>
          <cell r="Z398">
            <v>115110</v>
          </cell>
          <cell r="AA398">
            <v>110790</v>
          </cell>
          <cell r="AB398">
            <v>110850</v>
          </cell>
          <cell r="AC398">
            <v>110780</v>
          </cell>
          <cell r="AD398">
            <v>110800</v>
          </cell>
          <cell r="AE398">
            <v>111260</v>
          </cell>
          <cell r="AF398">
            <v>111320</v>
          </cell>
          <cell r="AG398">
            <v>111260</v>
          </cell>
          <cell r="AH398">
            <v>111290</v>
          </cell>
        </row>
        <row r="399">
          <cell r="S399">
            <v>108140</v>
          </cell>
          <cell r="T399">
            <v>108180</v>
          </cell>
          <cell r="U399">
            <v>108070</v>
          </cell>
          <cell r="V399">
            <v>108070</v>
          </cell>
          <cell r="W399">
            <v>115090</v>
          </cell>
          <cell r="X399">
            <v>115100</v>
          </cell>
          <cell r="Y399">
            <v>115050</v>
          </cell>
          <cell r="Z399">
            <v>115080</v>
          </cell>
          <cell r="AA399">
            <v>110800</v>
          </cell>
          <cell r="AB399">
            <v>110820</v>
          </cell>
          <cell r="AC399">
            <v>110780</v>
          </cell>
          <cell r="AD399">
            <v>110780</v>
          </cell>
          <cell r="AE399">
            <v>111290</v>
          </cell>
          <cell r="AF399">
            <v>111310</v>
          </cell>
          <cell r="AG399">
            <v>111230</v>
          </cell>
          <cell r="AH399">
            <v>111260</v>
          </cell>
        </row>
        <row r="400">
          <cell r="S400">
            <v>108060</v>
          </cell>
          <cell r="T400">
            <v>108090</v>
          </cell>
          <cell r="U400">
            <v>108050</v>
          </cell>
          <cell r="V400">
            <v>108060</v>
          </cell>
          <cell r="W400">
            <v>115090</v>
          </cell>
          <cell r="X400">
            <v>115110</v>
          </cell>
          <cell r="Y400">
            <v>115050</v>
          </cell>
          <cell r="Z400">
            <v>115070</v>
          </cell>
          <cell r="AA400">
            <v>110790</v>
          </cell>
          <cell r="AB400">
            <v>110890</v>
          </cell>
          <cell r="AC400">
            <v>110770</v>
          </cell>
          <cell r="AD400">
            <v>110840</v>
          </cell>
          <cell r="AE400">
            <v>111260</v>
          </cell>
          <cell r="AF400">
            <v>111320</v>
          </cell>
          <cell r="AG400">
            <v>111240</v>
          </cell>
          <cell r="AH400">
            <v>111300</v>
          </cell>
        </row>
        <row r="401">
          <cell r="S401">
            <v>108100</v>
          </cell>
          <cell r="T401">
            <v>108110</v>
          </cell>
          <cell r="U401">
            <v>108100</v>
          </cell>
          <cell r="V401">
            <v>108100</v>
          </cell>
          <cell r="W401">
            <v>115050</v>
          </cell>
          <cell r="X401">
            <v>115100</v>
          </cell>
          <cell r="Y401">
            <v>115040</v>
          </cell>
          <cell r="Z401">
            <v>115070</v>
          </cell>
          <cell r="AA401">
            <v>110840</v>
          </cell>
          <cell r="AB401">
            <v>110900</v>
          </cell>
          <cell r="AC401">
            <v>110820</v>
          </cell>
          <cell r="AD401">
            <v>110860</v>
          </cell>
          <cell r="AE401">
            <v>111300</v>
          </cell>
          <cell r="AF401">
            <v>111330</v>
          </cell>
          <cell r="AG401">
            <v>111270</v>
          </cell>
          <cell r="AH401">
            <v>111310</v>
          </cell>
        </row>
        <row r="402">
          <cell r="S402">
            <v>108080</v>
          </cell>
          <cell r="T402">
            <v>108080</v>
          </cell>
          <cell r="U402">
            <v>108060</v>
          </cell>
          <cell r="V402">
            <v>108080</v>
          </cell>
          <cell r="W402">
            <v>115080</v>
          </cell>
          <cell r="X402">
            <v>115150</v>
          </cell>
          <cell r="Y402">
            <v>114960</v>
          </cell>
          <cell r="Z402">
            <v>114960</v>
          </cell>
          <cell r="AA402">
            <v>110860</v>
          </cell>
          <cell r="AB402">
            <v>110950</v>
          </cell>
          <cell r="AC402">
            <v>110850</v>
          </cell>
          <cell r="AD402">
            <v>110860</v>
          </cell>
          <cell r="AE402">
            <v>111320</v>
          </cell>
          <cell r="AF402">
            <v>111380</v>
          </cell>
          <cell r="AG402">
            <v>111300</v>
          </cell>
          <cell r="AH402">
            <v>111380</v>
          </cell>
        </row>
        <row r="403">
          <cell r="S403">
            <v>108100</v>
          </cell>
          <cell r="T403">
            <v>108120</v>
          </cell>
          <cell r="U403">
            <v>108100</v>
          </cell>
          <cell r="V403">
            <v>108120</v>
          </cell>
          <cell r="W403">
            <v>114960</v>
          </cell>
          <cell r="X403">
            <v>114970</v>
          </cell>
          <cell r="Y403">
            <v>114850</v>
          </cell>
          <cell r="Z403">
            <v>114920</v>
          </cell>
          <cell r="AA403">
            <v>110870</v>
          </cell>
          <cell r="AB403">
            <v>111000</v>
          </cell>
          <cell r="AC403">
            <v>110860</v>
          </cell>
          <cell r="AD403">
            <v>110920</v>
          </cell>
          <cell r="AE403">
            <v>111380</v>
          </cell>
          <cell r="AF403">
            <v>111380</v>
          </cell>
          <cell r="AG403">
            <v>111300</v>
          </cell>
          <cell r="AH403">
            <v>111300</v>
          </cell>
        </row>
        <row r="404">
          <cell r="S404">
            <v>108120</v>
          </cell>
          <cell r="T404">
            <v>108120</v>
          </cell>
          <cell r="U404">
            <v>108110</v>
          </cell>
          <cell r="V404">
            <v>108110</v>
          </cell>
          <cell r="W404">
            <v>114930</v>
          </cell>
          <cell r="X404">
            <v>114970</v>
          </cell>
          <cell r="Y404">
            <v>114920</v>
          </cell>
          <cell r="Z404">
            <v>114950</v>
          </cell>
          <cell r="AA404">
            <v>110910</v>
          </cell>
          <cell r="AB404">
            <v>111090</v>
          </cell>
          <cell r="AC404">
            <v>110910</v>
          </cell>
          <cell r="AD404">
            <v>111020</v>
          </cell>
          <cell r="AE404">
            <v>111290</v>
          </cell>
          <cell r="AF404">
            <v>111300</v>
          </cell>
          <cell r="AG404">
            <v>111250</v>
          </cell>
          <cell r="AH404">
            <v>111280</v>
          </cell>
        </row>
        <row r="405">
          <cell r="S405">
            <v>108130</v>
          </cell>
          <cell r="T405">
            <v>108150</v>
          </cell>
          <cell r="U405">
            <v>108120</v>
          </cell>
          <cell r="V405">
            <v>108120</v>
          </cell>
          <cell r="W405">
            <v>114960</v>
          </cell>
          <cell r="X405">
            <v>115020</v>
          </cell>
          <cell r="Y405">
            <v>114940</v>
          </cell>
          <cell r="Z405">
            <v>114980</v>
          </cell>
          <cell r="AA405">
            <v>111020</v>
          </cell>
          <cell r="AB405">
            <v>111040</v>
          </cell>
          <cell r="AC405">
            <v>110970</v>
          </cell>
          <cell r="AD405">
            <v>110990</v>
          </cell>
          <cell r="AE405">
            <v>111270</v>
          </cell>
          <cell r="AF405">
            <v>111340</v>
          </cell>
          <cell r="AG405">
            <v>111260</v>
          </cell>
          <cell r="AH405">
            <v>111300</v>
          </cell>
        </row>
        <row r="406">
          <cell r="S406">
            <v>108100</v>
          </cell>
          <cell r="T406">
            <v>108100</v>
          </cell>
          <cell r="U406">
            <v>108100</v>
          </cell>
          <cell r="V406">
            <v>108100</v>
          </cell>
          <cell r="W406">
            <v>114980</v>
          </cell>
          <cell r="X406">
            <v>114990</v>
          </cell>
          <cell r="Y406">
            <v>114940</v>
          </cell>
          <cell r="Z406">
            <v>114950</v>
          </cell>
          <cell r="AA406">
            <v>111000</v>
          </cell>
          <cell r="AB406">
            <v>111070</v>
          </cell>
          <cell r="AC406">
            <v>111000</v>
          </cell>
          <cell r="AD406">
            <v>111070</v>
          </cell>
          <cell r="AE406">
            <v>111290</v>
          </cell>
          <cell r="AF406">
            <v>111330</v>
          </cell>
          <cell r="AG406">
            <v>111270</v>
          </cell>
          <cell r="AH406">
            <v>111330</v>
          </cell>
        </row>
        <row r="407">
          <cell r="S407">
            <v>108150</v>
          </cell>
          <cell r="T407">
            <v>108180</v>
          </cell>
          <cell r="U407">
            <v>108130</v>
          </cell>
          <cell r="V407">
            <v>108130</v>
          </cell>
          <cell r="W407">
            <v>114970</v>
          </cell>
          <cell r="X407">
            <v>115020</v>
          </cell>
          <cell r="Y407">
            <v>114910</v>
          </cell>
          <cell r="Z407">
            <v>114960</v>
          </cell>
          <cell r="AA407">
            <v>111060</v>
          </cell>
          <cell r="AB407">
            <v>111110</v>
          </cell>
          <cell r="AC407">
            <v>111050</v>
          </cell>
          <cell r="AD407">
            <v>111080</v>
          </cell>
          <cell r="AE407">
            <v>111330</v>
          </cell>
          <cell r="AF407">
            <v>111370</v>
          </cell>
          <cell r="AG407">
            <v>111320</v>
          </cell>
          <cell r="AH407">
            <v>111360</v>
          </cell>
        </row>
        <row r="408">
          <cell r="S408">
            <v>108130</v>
          </cell>
          <cell r="T408">
            <v>108140</v>
          </cell>
          <cell r="U408">
            <v>108090</v>
          </cell>
          <cell r="V408">
            <v>108100</v>
          </cell>
          <cell r="W408">
            <v>114970</v>
          </cell>
          <cell r="X408">
            <v>114990</v>
          </cell>
          <cell r="Y408">
            <v>114880</v>
          </cell>
          <cell r="Z408">
            <v>114880</v>
          </cell>
          <cell r="AA408">
            <v>111080</v>
          </cell>
          <cell r="AB408">
            <v>111090</v>
          </cell>
          <cell r="AC408">
            <v>110990</v>
          </cell>
          <cell r="AD408">
            <v>110990</v>
          </cell>
          <cell r="AE408">
            <v>111360</v>
          </cell>
          <cell r="AF408">
            <v>111450</v>
          </cell>
          <cell r="AG408">
            <v>111360</v>
          </cell>
          <cell r="AH408">
            <v>111380</v>
          </cell>
        </row>
        <row r="409">
          <cell r="S409">
            <v>108130</v>
          </cell>
          <cell r="T409">
            <v>108140</v>
          </cell>
          <cell r="U409">
            <v>108130</v>
          </cell>
          <cell r="V409">
            <v>108140</v>
          </cell>
          <cell r="W409">
            <v>114880</v>
          </cell>
          <cell r="X409">
            <v>114930</v>
          </cell>
          <cell r="Y409">
            <v>114860</v>
          </cell>
          <cell r="Z409">
            <v>114880</v>
          </cell>
          <cell r="AA409">
            <v>110990</v>
          </cell>
          <cell r="AB409">
            <v>111050</v>
          </cell>
          <cell r="AC409">
            <v>110960</v>
          </cell>
          <cell r="AD409">
            <v>111040</v>
          </cell>
          <cell r="AE409">
            <v>111380</v>
          </cell>
          <cell r="AF409">
            <v>111430</v>
          </cell>
          <cell r="AG409">
            <v>111380</v>
          </cell>
          <cell r="AH409">
            <v>111430</v>
          </cell>
        </row>
        <row r="410">
          <cell r="S410">
            <v>108110</v>
          </cell>
          <cell r="T410">
            <v>108120</v>
          </cell>
          <cell r="U410">
            <v>108110</v>
          </cell>
          <cell r="V410">
            <v>108120</v>
          </cell>
          <cell r="W410">
            <v>114890</v>
          </cell>
          <cell r="X410">
            <v>114970</v>
          </cell>
          <cell r="Y410">
            <v>114860</v>
          </cell>
          <cell r="Z410">
            <v>114970</v>
          </cell>
          <cell r="AA410">
            <v>111020</v>
          </cell>
          <cell r="AB410">
            <v>111030</v>
          </cell>
          <cell r="AC410">
            <v>110930</v>
          </cell>
          <cell r="AD410">
            <v>110960</v>
          </cell>
          <cell r="AE410">
            <v>111420</v>
          </cell>
          <cell r="AF410">
            <v>111450</v>
          </cell>
          <cell r="AG410">
            <v>111410</v>
          </cell>
          <cell r="AH410">
            <v>111420</v>
          </cell>
        </row>
        <row r="411">
          <cell r="S411">
            <v>108130</v>
          </cell>
          <cell r="T411">
            <v>108130</v>
          </cell>
          <cell r="U411">
            <v>108100</v>
          </cell>
          <cell r="V411">
            <v>108100</v>
          </cell>
          <cell r="W411">
            <v>114960</v>
          </cell>
          <cell r="X411">
            <v>115020</v>
          </cell>
          <cell r="Y411">
            <v>114890</v>
          </cell>
          <cell r="Z411">
            <v>114910</v>
          </cell>
          <cell r="AA411">
            <v>110960</v>
          </cell>
          <cell r="AB411">
            <v>111010</v>
          </cell>
          <cell r="AC411">
            <v>110910</v>
          </cell>
          <cell r="AD411">
            <v>110940</v>
          </cell>
          <cell r="AE411">
            <v>111430</v>
          </cell>
          <cell r="AF411">
            <v>111450</v>
          </cell>
          <cell r="AG411">
            <v>111400</v>
          </cell>
          <cell r="AH411">
            <v>111410</v>
          </cell>
        </row>
        <row r="412">
          <cell r="S412">
            <v>108170</v>
          </cell>
          <cell r="T412">
            <v>108190</v>
          </cell>
          <cell r="U412">
            <v>108150</v>
          </cell>
          <cell r="V412">
            <v>108150</v>
          </cell>
          <cell r="W412">
            <v>114900</v>
          </cell>
          <cell r="X412">
            <v>115060</v>
          </cell>
          <cell r="Y412">
            <v>114890</v>
          </cell>
          <cell r="Z412">
            <v>115030</v>
          </cell>
          <cell r="AA412">
            <v>110950</v>
          </cell>
          <cell r="AB412">
            <v>111020</v>
          </cell>
          <cell r="AC412">
            <v>110950</v>
          </cell>
          <cell r="AD412">
            <v>111010</v>
          </cell>
          <cell r="AE412">
            <v>111400</v>
          </cell>
          <cell r="AF412">
            <v>111420</v>
          </cell>
          <cell r="AG412">
            <v>111380</v>
          </cell>
          <cell r="AH412">
            <v>111400</v>
          </cell>
        </row>
        <row r="413">
          <cell r="S413">
            <v>108170</v>
          </cell>
          <cell r="T413">
            <v>108210</v>
          </cell>
          <cell r="U413">
            <v>108130</v>
          </cell>
          <cell r="V413">
            <v>108160</v>
          </cell>
          <cell r="W413">
            <v>115030</v>
          </cell>
          <cell r="X413">
            <v>115160</v>
          </cell>
          <cell r="Y413">
            <v>115020</v>
          </cell>
          <cell r="Z413">
            <v>115130</v>
          </cell>
          <cell r="AA413">
            <v>111010</v>
          </cell>
          <cell r="AB413">
            <v>111040</v>
          </cell>
          <cell r="AC413">
            <v>110980</v>
          </cell>
          <cell r="AD413">
            <v>110990</v>
          </cell>
          <cell r="AE413">
            <v>111400</v>
          </cell>
          <cell r="AF413">
            <v>111530</v>
          </cell>
          <cell r="AG413">
            <v>111400</v>
          </cell>
          <cell r="AH413">
            <v>111480</v>
          </cell>
        </row>
        <row r="414">
          <cell r="S414">
            <v>108130</v>
          </cell>
          <cell r="T414">
            <v>108130</v>
          </cell>
          <cell r="U414">
            <v>108080</v>
          </cell>
          <cell r="V414">
            <v>108080</v>
          </cell>
          <cell r="W414">
            <v>115140</v>
          </cell>
          <cell r="X414">
            <v>115300</v>
          </cell>
          <cell r="Y414">
            <v>115120</v>
          </cell>
          <cell r="Z414">
            <v>115210</v>
          </cell>
          <cell r="AA414">
            <v>110990</v>
          </cell>
          <cell r="AB414">
            <v>111000</v>
          </cell>
          <cell r="AC414">
            <v>110910</v>
          </cell>
          <cell r="AD414">
            <v>110940</v>
          </cell>
          <cell r="AE414">
            <v>111470</v>
          </cell>
          <cell r="AF414">
            <v>111520</v>
          </cell>
          <cell r="AG414">
            <v>111460</v>
          </cell>
          <cell r="AH414">
            <v>111510</v>
          </cell>
        </row>
        <row r="415">
          <cell r="S415">
            <v>108070</v>
          </cell>
          <cell r="T415">
            <v>108070</v>
          </cell>
          <cell r="U415">
            <v>108070</v>
          </cell>
          <cell r="V415">
            <v>108070</v>
          </cell>
          <cell r="W415">
            <v>115220</v>
          </cell>
          <cell r="X415">
            <v>115230</v>
          </cell>
          <cell r="Y415">
            <v>115170</v>
          </cell>
          <cell r="Z415">
            <v>115210</v>
          </cell>
          <cell r="AA415">
            <v>110930</v>
          </cell>
          <cell r="AB415">
            <v>110940</v>
          </cell>
          <cell r="AC415">
            <v>110840</v>
          </cell>
          <cell r="AD415">
            <v>110850</v>
          </cell>
          <cell r="AE415">
            <v>111520</v>
          </cell>
          <cell r="AF415">
            <v>111590</v>
          </cell>
          <cell r="AG415">
            <v>111520</v>
          </cell>
          <cell r="AH415">
            <v>111540</v>
          </cell>
        </row>
        <row r="416">
          <cell r="S416">
            <v>108140</v>
          </cell>
          <cell r="T416">
            <v>108150</v>
          </cell>
          <cell r="U416">
            <v>108140</v>
          </cell>
          <cell r="V416">
            <v>108150</v>
          </cell>
          <cell r="W416">
            <v>115220</v>
          </cell>
          <cell r="X416">
            <v>115230</v>
          </cell>
          <cell r="Y416">
            <v>115170</v>
          </cell>
          <cell r="Z416">
            <v>115210</v>
          </cell>
          <cell r="AA416">
            <v>110840</v>
          </cell>
          <cell r="AB416">
            <v>110870</v>
          </cell>
          <cell r="AC416">
            <v>110660</v>
          </cell>
          <cell r="AD416">
            <v>110680</v>
          </cell>
          <cell r="AE416">
            <v>111550</v>
          </cell>
          <cell r="AF416">
            <v>111570</v>
          </cell>
          <cell r="AG416">
            <v>111510</v>
          </cell>
          <cell r="AH416">
            <v>111560</v>
          </cell>
        </row>
        <row r="417">
          <cell r="S417">
            <v>108110</v>
          </cell>
          <cell r="T417">
            <v>108110</v>
          </cell>
          <cell r="U417">
            <v>108110</v>
          </cell>
          <cell r="V417">
            <v>108110</v>
          </cell>
          <cell r="W417">
            <v>115200</v>
          </cell>
          <cell r="X417">
            <v>115350</v>
          </cell>
          <cell r="Y417">
            <v>115190</v>
          </cell>
          <cell r="Z417">
            <v>115290</v>
          </cell>
          <cell r="AA417">
            <v>110660</v>
          </cell>
          <cell r="AB417">
            <v>110890</v>
          </cell>
          <cell r="AC417">
            <v>110660</v>
          </cell>
          <cell r="AD417">
            <v>110780</v>
          </cell>
          <cell r="AE417">
            <v>111550</v>
          </cell>
          <cell r="AF417">
            <v>111580</v>
          </cell>
          <cell r="AG417">
            <v>111480</v>
          </cell>
          <cell r="AH417">
            <v>111480</v>
          </cell>
        </row>
        <row r="418">
          <cell r="S418">
            <v>108100</v>
          </cell>
          <cell r="T418">
            <v>108100</v>
          </cell>
          <cell r="U418">
            <v>108100</v>
          </cell>
          <cell r="V418">
            <v>108100</v>
          </cell>
          <cell r="W418">
            <v>115290</v>
          </cell>
          <cell r="X418">
            <v>115430</v>
          </cell>
          <cell r="Y418">
            <v>115250</v>
          </cell>
          <cell r="Z418">
            <v>115380</v>
          </cell>
          <cell r="AA418">
            <v>110790</v>
          </cell>
          <cell r="AB418">
            <v>110810</v>
          </cell>
          <cell r="AC418">
            <v>110710</v>
          </cell>
          <cell r="AD418">
            <v>110710</v>
          </cell>
          <cell r="AE418">
            <v>111480</v>
          </cell>
          <cell r="AF418">
            <v>111510</v>
          </cell>
          <cell r="AG418">
            <v>111430</v>
          </cell>
          <cell r="AH418">
            <v>111450</v>
          </cell>
        </row>
        <row r="419">
          <cell r="S419">
            <v>108050</v>
          </cell>
          <cell r="T419">
            <v>108080</v>
          </cell>
          <cell r="U419">
            <v>108050</v>
          </cell>
          <cell r="V419">
            <v>108060</v>
          </cell>
          <cell r="W419">
            <v>115370</v>
          </cell>
          <cell r="X419">
            <v>115440</v>
          </cell>
          <cell r="Y419">
            <v>115340</v>
          </cell>
          <cell r="Z419">
            <v>115340</v>
          </cell>
          <cell r="AA419">
            <v>110700</v>
          </cell>
          <cell r="AB419">
            <v>110760</v>
          </cell>
          <cell r="AC419">
            <v>110700</v>
          </cell>
          <cell r="AD419">
            <v>110750</v>
          </cell>
          <cell r="AE419">
            <v>111470</v>
          </cell>
          <cell r="AF419">
            <v>111470</v>
          </cell>
          <cell r="AG419">
            <v>111410</v>
          </cell>
          <cell r="AH419">
            <v>111410</v>
          </cell>
        </row>
        <row r="420">
          <cell r="S420">
            <v>108100</v>
          </cell>
          <cell r="T420">
            <v>108130</v>
          </cell>
          <cell r="U420">
            <v>108100</v>
          </cell>
          <cell r="V420">
            <v>108120</v>
          </cell>
          <cell r="W420">
            <v>115340</v>
          </cell>
          <cell r="X420">
            <v>115560</v>
          </cell>
          <cell r="Y420">
            <v>115340</v>
          </cell>
          <cell r="Z420">
            <v>115470</v>
          </cell>
          <cell r="AA420">
            <v>110760</v>
          </cell>
          <cell r="AB420">
            <v>110810</v>
          </cell>
          <cell r="AC420">
            <v>110720</v>
          </cell>
          <cell r="AD420">
            <v>110730</v>
          </cell>
          <cell r="AE420">
            <v>111410</v>
          </cell>
          <cell r="AF420">
            <v>111440</v>
          </cell>
          <cell r="AG420">
            <v>111400</v>
          </cell>
          <cell r="AH420">
            <v>111410</v>
          </cell>
        </row>
        <row r="421">
          <cell r="S421">
            <v>108150</v>
          </cell>
          <cell r="T421">
            <v>108150</v>
          </cell>
          <cell r="U421">
            <v>108140</v>
          </cell>
          <cell r="V421">
            <v>108140</v>
          </cell>
          <cell r="W421">
            <v>115470</v>
          </cell>
          <cell r="X421">
            <v>115570</v>
          </cell>
          <cell r="Y421">
            <v>115470</v>
          </cell>
          <cell r="Z421">
            <v>115500</v>
          </cell>
          <cell r="AA421">
            <v>110720</v>
          </cell>
          <cell r="AB421">
            <v>110800</v>
          </cell>
          <cell r="AC421">
            <v>110690</v>
          </cell>
          <cell r="AD421">
            <v>110800</v>
          </cell>
          <cell r="AE421">
            <v>111410</v>
          </cell>
          <cell r="AF421">
            <v>111440</v>
          </cell>
          <cell r="AG421">
            <v>111360</v>
          </cell>
          <cell r="AH421">
            <v>111400</v>
          </cell>
        </row>
        <row r="422">
          <cell r="S422">
            <v>108160</v>
          </cell>
          <cell r="T422">
            <v>108160</v>
          </cell>
          <cell r="U422">
            <v>108160</v>
          </cell>
          <cell r="V422">
            <v>108160</v>
          </cell>
          <cell r="W422">
            <v>115520</v>
          </cell>
          <cell r="X422">
            <v>115750</v>
          </cell>
          <cell r="Y422">
            <v>115490</v>
          </cell>
          <cell r="Z422">
            <v>115690</v>
          </cell>
          <cell r="AA422">
            <v>110790</v>
          </cell>
          <cell r="AB422">
            <v>110810</v>
          </cell>
          <cell r="AC422">
            <v>110760</v>
          </cell>
          <cell r="AD422">
            <v>110780</v>
          </cell>
          <cell r="AE422">
            <v>111400</v>
          </cell>
          <cell r="AF422">
            <v>111430</v>
          </cell>
          <cell r="AG422">
            <v>111370</v>
          </cell>
          <cell r="AH422">
            <v>111390</v>
          </cell>
        </row>
        <row r="423">
          <cell r="S423">
            <v>108130</v>
          </cell>
          <cell r="T423">
            <v>108130</v>
          </cell>
          <cell r="U423">
            <v>108130</v>
          </cell>
          <cell r="V423">
            <v>108130</v>
          </cell>
          <cell r="W423">
            <v>115690</v>
          </cell>
          <cell r="X423">
            <v>115740</v>
          </cell>
          <cell r="Y423">
            <v>115570</v>
          </cell>
          <cell r="Z423">
            <v>115590</v>
          </cell>
          <cell r="AA423">
            <v>110790</v>
          </cell>
          <cell r="AB423">
            <v>110820</v>
          </cell>
          <cell r="AC423">
            <v>110760</v>
          </cell>
          <cell r="AD423">
            <v>110800</v>
          </cell>
          <cell r="AE423">
            <v>111390</v>
          </cell>
          <cell r="AF423">
            <v>111400</v>
          </cell>
          <cell r="AG423">
            <v>111330</v>
          </cell>
          <cell r="AH423">
            <v>111350</v>
          </cell>
        </row>
        <row r="424">
          <cell r="S424">
            <v>108100</v>
          </cell>
          <cell r="T424">
            <v>108130</v>
          </cell>
          <cell r="U424">
            <v>108100</v>
          </cell>
          <cell r="V424">
            <v>108130</v>
          </cell>
          <cell r="W424">
            <v>115590</v>
          </cell>
          <cell r="X424">
            <v>115650</v>
          </cell>
          <cell r="Y424">
            <v>115570</v>
          </cell>
          <cell r="Z424">
            <v>115640</v>
          </cell>
          <cell r="AA424">
            <v>110800</v>
          </cell>
          <cell r="AB424">
            <v>110800</v>
          </cell>
          <cell r="AC424">
            <v>110750</v>
          </cell>
          <cell r="AD424">
            <v>110760</v>
          </cell>
          <cell r="AE424">
            <v>111350</v>
          </cell>
          <cell r="AF424">
            <v>111410</v>
          </cell>
          <cell r="AG424">
            <v>111350</v>
          </cell>
          <cell r="AH424">
            <v>111380</v>
          </cell>
        </row>
        <row r="425">
          <cell r="S425">
            <v>108130</v>
          </cell>
          <cell r="T425">
            <v>108130</v>
          </cell>
          <cell r="U425">
            <v>108130</v>
          </cell>
          <cell r="V425">
            <v>108130</v>
          </cell>
          <cell r="W425">
            <v>115640</v>
          </cell>
          <cell r="X425">
            <v>115700</v>
          </cell>
          <cell r="Y425">
            <v>115620</v>
          </cell>
          <cell r="Z425">
            <v>115660</v>
          </cell>
          <cell r="AA425">
            <v>110750</v>
          </cell>
          <cell r="AB425">
            <v>110800</v>
          </cell>
          <cell r="AC425">
            <v>110720</v>
          </cell>
          <cell r="AD425">
            <v>110790</v>
          </cell>
          <cell r="AE425">
            <v>111370</v>
          </cell>
          <cell r="AF425">
            <v>111400</v>
          </cell>
          <cell r="AG425">
            <v>111360</v>
          </cell>
          <cell r="AH425">
            <v>111400</v>
          </cell>
        </row>
        <row r="426">
          <cell r="S426">
            <v>108190</v>
          </cell>
          <cell r="T426">
            <v>108190</v>
          </cell>
          <cell r="U426">
            <v>108190</v>
          </cell>
          <cell r="V426">
            <v>108190</v>
          </cell>
          <cell r="W426">
            <v>115660</v>
          </cell>
          <cell r="X426">
            <v>115700</v>
          </cell>
          <cell r="Y426">
            <v>115580</v>
          </cell>
          <cell r="Z426">
            <v>115610</v>
          </cell>
          <cell r="AA426">
            <v>110790</v>
          </cell>
          <cell r="AB426">
            <v>110800</v>
          </cell>
          <cell r="AC426">
            <v>110770</v>
          </cell>
          <cell r="AD426">
            <v>110790</v>
          </cell>
          <cell r="AE426">
            <v>111400</v>
          </cell>
          <cell r="AF426">
            <v>111420</v>
          </cell>
          <cell r="AG426">
            <v>111370</v>
          </cell>
          <cell r="AH426">
            <v>111390</v>
          </cell>
        </row>
        <row r="427">
          <cell r="S427">
            <v>108170</v>
          </cell>
          <cell r="T427">
            <v>108170</v>
          </cell>
          <cell r="U427">
            <v>108160</v>
          </cell>
          <cell r="V427">
            <v>108160</v>
          </cell>
          <cell r="W427">
            <v>115620</v>
          </cell>
          <cell r="X427">
            <v>115660</v>
          </cell>
          <cell r="Y427">
            <v>115610</v>
          </cell>
          <cell r="Z427">
            <v>115630</v>
          </cell>
          <cell r="AA427">
            <v>110790</v>
          </cell>
          <cell r="AB427">
            <v>110860</v>
          </cell>
          <cell r="AC427">
            <v>110730</v>
          </cell>
          <cell r="AD427">
            <v>110860</v>
          </cell>
          <cell r="AE427">
            <v>111390</v>
          </cell>
          <cell r="AF427">
            <v>111430</v>
          </cell>
          <cell r="AG427">
            <v>111390</v>
          </cell>
          <cell r="AH427">
            <v>111420</v>
          </cell>
        </row>
        <row r="428">
          <cell r="S428">
            <v>108190</v>
          </cell>
          <cell r="T428">
            <v>108230</v>
          </cell>
          <cell r="U428">
            <v>108190</v>
          </cell>
          <cell r="V428">
            <v>108230</v>
          </cell>
          <cell r="W428">
            <v>115620</v>
          </cell>
          <cell r="X428">
            <v>115650</v>
          </cell>
          <cell r="Y428">
            <v>115560</v>
          </cell>
          <cell r="Z428">
            <v>115560</v>
          </cell>
          <cell r="AA428">
            <v>110850</v>
          </cell>
          <cell r="AB428">
            <v>110860</v>
          </cell>
          <cell r="AC428">
            <v>110820</v>
          </cell>
          <cell r="AD428">
            <v>110850</v>
          </cell>
          <cell r="AE428">
            <v>111420</v>
          </cell>
          <cell r="AF428">
            <v>111420</v>
          </cell>
          <cell r="AG428">
            <v>111390</v>
          </cell>
          <cell r="AH428">
            <v>111410</v>
          </cell>
        </row>
        <row r="429">
          <cell r="S429">
            <v>108210</v>
          </cell>
          <cell r="T429">
            <v>108220</v>
          </cell>
          <cell r="U429">
            <v>108170</v>
          </cell>
          <cell r="V429">
            <v>108170</v>
          </cell>
          <cell r="W429">
            <v>115570</v>
          </cell>
          <cell r="X429">
            <v>115670</v>
          </cell>
          <cell r="Y429">
            <v>115560</v>
          </cell>
          <cell r="Z429">
            <v>115670</v>
          </cell>
          <cell r="AA429">
            <v>110840</v>
          </cell>
          <cell r="AB429">
            <v>110900</v>
          </cell>
          <cell r="AC429">
            <v>110820</v>
          </cell>
          <cell r="AD429">
            <v>110890</v>
          </cell>
          <cell r="AE429">
            <v>111400</v>
          </cell>
          <cell r="AF429">
            <v>111420</v>
          </cell>
          <cell r="AG429">
            <v>111360</v>
          </cell>
          <cell r="AH429">
            <v>111380</v>
          </cell>
        </row>
        <row r="430">
          <cell r="S430">
            <v>108130</v>
          </cell>
          <cell r="T430">
            <v>108130</v>
          </cell>
          <cell r="U430">
            <v>108120</v>
          </cell>
          <cell r="V430">
            <v>108120</v>
          </cell>
          <cell r="W430">
            <v>115680</v>
          </cell>
          <cell r="X430">
            <v>115720</v>
          </cell>
          <cell r="Y430">
            <v>115580</v>
          </cell>
          <cell r="Z430">
            <v>115590</v>
          </cell>
          <cell r="AA430">
            <v>110890</v>
          </cell>
          <cell r="AB430">
            <v>111000</v>
          </cell>
          <cell r="AC430">
            <v>110880</v>
          </cell>
          <cell r="AD430">
            <v>110970</v>
          </cell>
          <cell r="AE430">
            <v>111380</v>
          </cell>
          <cell r="AF430">
            <v>111420</v>
          </cell>
          <cell r="AG430">
            <v>111380</v>
          </cell>
          <cell r="AH430">
            <v>111420</v>
          </cell>
        </row>
        <row r="431">
          <cell r="S431">
            <v>108150</v>
          </cell>
          <cell r="T431">
            <v>108150</v>
          </cell>
          <cell r="U431">
            <v>108150</v>
          </cell>
          <cell r="V431">
            <v>108150</v>
          </cell>
          <cell r="W431">
            <v>115590</v>
          </cell>
          <cell r="X431">
            <v>115640</v>
          </cell>
          <cell r="Y431">
            <v>115550</v>
          </cell>
          <cell r="Z431">
            <v>115610</v>
          </cell>
          <cell r="AA431">
            <v>110980</v>
          </cell>
          <cell r="AB431">
            <v>111100</v>
          </cell>
          <cell r="AC431">
            <v>110970</v>
          </cell>
          <cell r="AD431">
            <v>111090</v>
          </cell>
          <cell r="AE431">
            <v>111410</v>
          </cell>
          <cell r="AF431">
            <v>111420</v>
          </cell>
          <cell r="AG431">
            <v>111360</v>
          </cell>
          <cell r="AH431">
            <v>111390</v>
          </cell>
        </row>
        <row r="432">
          <cell r="S432">
            <v>108140</v>
          </cell>
          <cell r="T432">
            <v>108140</v>
          </cell>
          <cell r="U432">
            <v>108110</v>
          </cell>
          <cell r="V432">
            <v>108110</v>
          </cell>
          <cell r="W432">
            <v>115620</v>
          </cell>
          <cell r="X432">
            <v>115710</v>
          </cell>
          <cell r="Y432">
            <v>115600</v>
          </cell>
          <cell r="Z432">
            <v>115610</v>
          </cell>
          <cell r="AA432">
            <v>111090</v>
          </cell>
          <cell r="AB432">
            <v>111200</v>
          </cell>
          <cell r="AC432">
            <v>111060</v>
          </cell>
          <cell r="AD432">
            <v>111170</v>
          </cell>
          <cell r="AE432">
            <v>111390</v>
          </cell>
          <cell r="AF432">
            <v>111410</v>
          </cell>
          <cell r="AG432">
            <v>111360</v>
          </cell>
          <cell r="AH432">
            <v>111400</v>
          </cell>
        </row>
        <row r="433">
          <cell r="S433">
            <v>108140</v>
          </cell>
          <cell r="T433">
            <v>108140</v>
          </cell>
          <cell r="U433">
            <v>108140</v>
          </cell>
          <cell r="V433">
            <v>108140</v>
          </cell>
          <cell r="W433">
            <v>115620</v>
          </cell>
          <cell r="X433">
            <v>115680</v>
          </cell>
          <cell r="Y433">
            <v>115580</v>
          </cell>
          <cell r="Z433">
            <v>115580</v>
          </cell>
          <cell r="AA433">
            <v>111170</v>
          </cell>
          <cell r="AB433">
            <v>111180</v>
          </cell>
          <cell r="AC433">
            <v>111090</v>
          </cell>
          <cell r="AD433">
            <v>111100</v>
          </cell>
          <cell r="AE433">
            <v>111410</v>
          </cell>
          <cell r="AF433">
            <v>111430</v>
          </cell>
          <cell r="AG433">
            <v>111370</v>
          </cell>
          <cell r="AH433">
            <v>111420</v>
          </cell>
        </row>
        <row r="434">
          <cell r="S434">
            <v>108100</v>
          </cell>
          <cell r="T434">
            <v>108100</v>
          </cell>
          <cell r="U434">
            <v>108100</v>
          </cell>
          <cell r="V434">
            <v>108100</v>
          </cell>
          <cell r="W434">
            <v>115580</v>
          </cell>
          <cell r="X434">
            <v>115640</v>
          </cell>
          <cell r="Y434">
            <v>115580</v>
          </cell>
          <cell r="Z434">
            <v>115640</v>
          </cell>
          <cell r="AA434">
            <v>111110</v>
          </cell>
          <cell r="AB434">
            <v>111210</v>
          </cell>
          <cell r="AC434">
            <v>111110</v>
          </cell>
          <cell r="AD434">
            <v>111180</v>
          </cell>
          <cell r="AE434">
            <v>111410</v>
          </cell>
          <cell r="AF434">
            <v>111450</v>
          </cell>
          <cell r="AG434">
            <v>111370</v>
          </cell>
          <cell r="AH434">
            <v>111400</v>
          </cell>
        </row>
        <row r="435">
          <cell r="S435">
            <v>108130</v>
          </cell>
          <cell r="T435">
            <v>108200</v>
          </cell>
          <cell r="U435">
            <v>108130</v>
          </cell>
          <cell r="V435">
            <v>108200</v>
          </cell>
          <cell r="W435">
            <v>115640</v>
          </cell>
          <cell r="X435">
            <v>115660</v>
          </cell>
          <cell r="Y435">
            <v>115540</v>
          </cell>
          <cell r="Z435">
            <v>115590</v>
          </cell>
          <cell r="AA435">
            <v>111180</v>
          </cell>
          <cell r="AB435">
            <v>111200</v>
          </cell>
          <cell r="AC435">
            <v>111160</v>
          </cell>
          <cell r="AD435">
            <v>111160</v>
          </cell>
          <cell r="AE435">
            <v>111400</v>
          </cell>
          <cell r="AF435">
            <v>111440</v>
          </cell>
          <cell r="AG435">
            <v>111390</v>
          </cell>
          <cell r="AH435">
            <v>111420</v>
          </cell>
        </row>
        <row r="436">
          <cell r="S436">
            <v>108240</v>
          </cell>
          <cell r="T436">
            <v>108250</v>
          </cell>
          <cell r="U436">
            <v>108200</v>
          </cell>
          <cell r="V436">
            <v>108200</v>
          </cell>
          <cell r="W436">
            <v>115590</v>
          </cell>
          <cell r="X436">
            <v>115650</v>
          </cell>
          <cell r="Y436">
            <v>115570</v>
          </cell>
          <cell r="Z436">
            <v>115620</v>
          </cell>
          <cell r="AA436">
            <v>111160</v>
          </cell>
          <cell r="AB436">
            <v>111190</v>
          </cell>
          <cell r="AC436">
            <v>111090</v>
          </cell>
          <cell r="AD436">
            <v>111170</v>
          </cell>
          <cell r="AE436">
            <v>111420</v>
          </cell>
          <cell r="AF436">
            <v>111520</v>
          </cell>
          <cell r="AG436">
            <v>111410</v>
          </cell>
          <cell r="AH436">
            <v>111480</v>
          </cell>
        </row>
        <row r="437">
          <cell r="S437">
            <v>108260</v>
          </cell>
          <cell r="T437">
            <v>108350</v>
          </cell>
          <cell r="U437">
            <v>108260</v>
          </cell>
          <cell r="V437">
            <v>108300</v>
          </cell>
          <cell r="W437">
            <v>115620</v>
          </cell>
          <cell r="X437">
            <v>115690</v>
          </cell>
          <cell r="Y437">
            <v>115620</v>
          </cell>
          <cell r="Z437">
            <v>115670</v>
          </cell>
          <cell r="AA437">
            <v>111180</v>
          </cell>
          <cell r="AB437">
            <v>111210</v>
          </cell>
          <cell r="AC437">
            <v>111150</v>
          </cell>
          <cell r="AD437">
            <v>111160</v>
          </cell>
          <cell r="AE437">
            <v>111470</v>
          </cell>
          <cell r="AF437">
            <v>111520</v>
          </cell>
          <cell r="AG437">
            <v>111470</v>
          </cell>
          <cell r="AH437">
            <v>111520</v>
          </cell>
        </row>
        <row r="438">
          <cell r="S438">
            <v>108280</v>
          </cell>
          <cell r="T438">
            <v>108310</v>
          </cell>
          <cell r="U438">
            <v>108280</v>
          </cell>
          <cell r="V438">
            <v>108300</v>
          </cell>
          <cell r="W438">
            <v>115670</v>
          </cell>
          <cell r="X438">
            <v>115690</v>
          </cell>
          <cell r="Y438">
            <v>115640</v>
          </cell>
          <cell r="Z438">
            <v>115660</v>
          </cell>
          <cell r="AA438">
            <v>111170</v>
          </cell>
          <cell r="AB438">
            <v>111290</v>
          </cell>
          <cell r="AC438">
            <v>111160</v>
          </cell>
          <cell r="AD438">
            <v>111270</v>
          </cell>
          <cell r="AE438">
            <v>111530</v>
          </cell>
          <cell r="AF438">
            <v>111570</v>
          </cell>
          <cell r="AG438">
            <v>111500</v>
          </cell>
          <cell r="AH438">
            <v>111520</v>
          </cell>
        </row>
        <row r="439">
          <cell r="S439">
            <v>108280</v>
          </cell>
          <cell r="T439">
            <v>108320</v>
          </cell>
          <cell r="U439">
            <v>108280</v>
          </cell>
          <cell r="V439">
            <v>108310</v>
          </cell>
          <cell r="W439">
            <v>115670</v>
          </cell>
          <cell r="X439">
            <v>115780</v>
          </cell>
          <cell r="Y439">
            <v>115600</v>
          </cell>
          <cell r="Z439">
            <v>115710</v>
          </cell>
          <cell r="AA439">
            <v>111260</v>
          </cell>
          <cell r="AB439">
            <v>111310</v>
          </cell>
          <cell r="AC439">
            <v>111250</v>
          </cell>
          <cell r="AD439">
            <v>111300</v>
          </cell>
          <cell r="AE439">
            <v>111530</v>
          </cell>
          <cell r="AF439">
            <v>111550</v>
          </cell>
          <cell r="AG439">
            <v>111480</v>
          </cell>
          <cell r="AH439">
            <v>111520</v>
          </cell>
        </row>
        <row r="440">
          <cell r="S440">
            <v>108310</v>
          </cell>
          <cell r="T440">
            <v>108330</v>
          </cell>
          <cell r="U440">
            <v>108310</v>
          </cell>
          <cell r="V440">
            <v>108330</v>
          </cell>
          <cell r="W440">
            <v>115720</v>
          </cell>
          <cell r="X440">
            <v>115750</v>
          </cell>
          <cell r="Y440">
            <v>115650</v>
          </cell>
          <cell r="Z440">
            <v>115740</v>
          </cell>
          <cell r="AA440">
            <v>111280</v>
          </cell>
          <cell r="AB440">
            <v>111320</v>
          </cell>
          <cell r="AC440">
            <v>111240</v>
          </cell>
          <cell r="AD440">
            <v>111250</v>
          </cell>
          <cell r="AE440">
            <v>111520</v>
          </cell>
          <cell r="AF440">
            <v>111530</v>
          </cell>
          <cell r="AG440">
            <v>111460</v>
          </cell>
          <cell r="AH440">
            <v>111490</v>
          </cell>
        </row>
        <row r="441">
          <cell r="S441">
            <v>108340</v>
          </cell>
          <cell r="T441">
            <v>108380</v>
          </cell>
          <cell r="U441">
            <v>108320</v>
          </cell>
          <cell r="V441">
            <v>108340</v>
          </cell>
          <cell r="W441">
            <v>115740</v>
          </cell>
          <cell r="X441">
            <v>115780</v>
          </cell>
          <cell r="Y441">
            <v>115730</v>
          </cell>
          <cell r="Z441">
            <v>115770</v>
          </cell>
          <cell r="AA441">
            <v>111260</v>
          </cell>
          <cell r="AB441">
            <v>111350</v>
          </cell>
          <cell r="AC441">
            <v>111240</v>
          </cell>
          <cell r="AD441">
            <v>111330</v>
          </cell>
          <cell r="AE441">
            <v>111490</v>
          </cell>
          <cell r="AF441">
            <v>111530</v>
          </cell>
          <cell r="AG441">
            <v>111480</v>
          </cell>
          <cell r="AH441">
            <v>111530</v>
          </cell>
        </row>
        <row r="442">
          <cell r="S442">
            <v>108350</v>
          </cell>
          <cell r="T442">
            <v>108350</v>
          </cell>
          <cell r="U442">
            <v>108310</v>
          </cell>
          <cell r="V442">
            <v>108310</v>
          </cell>
          <cell r="W442">
            <v>115770</v>
          </cell>
          <cell r="X442">
            <v>115810</v>
          </cell>
          <cell r="Y442">
            <v>115700</v>
          </cell>
          <cell r="Z442">
            <v>115810</v>
          </cell>
          <cell r="AA442">
            <v>111340</v>
          </cell>
          <cell r="AB442">
            <v>111390</v>
          </cell>
          <cell r="AC442">
            <v>111330</v>
          </cell>
          <cell r="AD442">
            <v>111370</v>
          </cell>
          <cell r="AE442">
            <v>111520</v>
          </cell>
          <cell r="AF442">
            <v>111540</v>
          </cell>
          <cell r="AG442">
            <v>111500</v>
          </cell>
          <cell r="AH442">
            <v>111520</v>
          </cell>
        </row>
        <row r="443">
          <cell r="S443">
            <v>108310</v>
          </cell>
          <cell r="T443">
            <v>108310</v>
          </cell>
          <cell r="U443">
            <v>108310</v>
          </cell>
          <cell r="V443">
            <v>108310</v>
          </cell>
          <cell r="W443">
            <v>115810</v>
          </cell>
          <cell r="X443">
            <v>115830</v>
          </cell>
          <cell r="Y443">
            <v>115700</v>
          </cell>
          <cell r="Z443">
            <v>115740</v>
          </cell>
          <cell r="AA443">
            <v>111370</v>
          </cell>
          <cell r="AB443">
            <v>111390</v>
          </cell>
          <cell r="AC443">
            <v>111210</v>
          </cell>
          <cell r="AD443">
            <v>111250</v>
          </cell>
          <cell r="AE443">
            <v>111520</v>
          </cell>
          <cell r="AF443">
            <v>111520</v>
          </cell>
          <cell r="AG443">
            <v>111410</v>
          </cell>
          <cell r="AH443">
            <v>111420</v>
          </cell>
        </row>
        <row r="444">
          <cell r="S444">
            <v>108290</v>
          </cell>
          <cell r="T444">
            <v>108320</v>
          </cell>
          <cell r="U444">
            <v>108290</v>
          </cell>
          <cell r="V444">
            <v>108300</v>
          </cell>
          <cell r="W444">
            <v>115730</v>
          </cell>
          <cell r="X444">
            <v>115730</v>
          </cell>
          <cell r="Y444">
            <v>115650</v>
          </cell>
          <cell r="Z444">
            <v>115690</v>
          </cell>
          <cell r="AA444">
            <v>111250</v>
          </cell>
          <cell r="AB444">
            <v>111290</v>
          </cell>
          <cell r="AC444">
            <v>111160</v>
          </cell>
          <cell r="AD444">
            <v>111200</v>
          </cell>
          <cell r="AE444">
            <v>111420</v>
          </cell>
          <cell r="AF444">
            <v>111460</v>
          </cell>
          <cell r="AG444">
            <v>111400</v>
          </cell>
          <cell r="AH444">
            <v>111440</v>
          </cell>
        </row>
        <row r="445">
          <cell r="S445">
            <v>108320</v>
          </cell>
          <cell r="T445">
            <v>108320</v>
          </cell>
          <cell r="U445">
            <v>108320</v>
          </cell>
          <cell r="V445">
            <v>108320</v>
          </cell>
          <cell r="W445">
            <v>115670</v>
          </cell>
          <cell r="X445">
            <v>115760</v>
          </cell>
          <cell r="Y445">
            <v>115660</v>
          </cell>
          <cell r="Z445">
            <v>115710</v>
          </cell>
          <cell r="AA445">
            <v>111200</v>
          </cell>
          <cell r="AB445">
            <v>111240</v>
          </cell>
          <cell r="AC445">
            <v>111190</v>
          </cell>
          <cell r="AD445">
            <v>111230</v>
          </cell>
          <cell r="AE445">
            <v>111450</v>
          </cell>
          <cell r="AF445">
            <v>111450</v>
          </cell>
          <cell r="AG445">
            <v>111400</v>
          </cell>
          <cell r="AH445">
            <v>111430</v>
          </cell>
        </row>
        <row r="446">
          <cell r="S446">
            <v>108310</v>
          </cell>
          <cell r="T446">
            <v>108310</v>
          </cell>
          <cell r="U446">
            <v>108310</v>
          </cell>
          <cell r="V446">
            <v>108310</v>
          </cell>
          <cell r="W446">
            <v>115710</v>
          </cell>
          <cell r="X446">
            <v>115750</v>
          </cell>
          <cell r="Y446">
            <v>115660</v>
          </cell>
          <cell r="Z446">
            <v>115670</v>
          </cell>
          <cell r="AA446">
            <v>111220</v>
          </cell>
          <cell r="AB446">
            <v>111240</v>
          </cell>
          <cell r="AC446">
            <v>111190</v>
          </cell>
          <cell r="AD446">
            <v>111230</v>
          </cell>
          <cell r="AE446">
            <v>111430</v>
          </cell>
          <cell r="AF446">
            <v>111430</v>
          </cell>
          <cell r="AG446">
            <v>111350</v>
          </cell>
          <cell r="AH446">
            <v>111360</v>
          </cell>
        </row>
        <row r="447">
          <cell r="S447">
            <v>108300</v>
          </cell>
          <cell r="T447">
            <v>108300</v>
          </cell>
          <cell r="U447">
            <v>108300</v>
          </cell>
          <cell r="V447">
            <v>108300</v>
          </cell>
          <cell r="W447">
            <v>115680</v>
          </cell>
          <cell r="X447">
            <v>115690</v>
          </cell>
          <cell r="Y447">
            <v>115640</v>
          </cell>
          <cell r="Z447">
            <v>115680</v>
          </cell>
          <cell r="AA447">
            <v>111230</v>
          </cell>
          <cell r="AB447">
            <v>111290</v>
          </cell>
          <cell r="AC447">
            <v>111170</v>
          </cell>
          <cell r="AD447">
            <v>111200</v>
          </cell>
          <cell r="AE447">
            <v>111370</v>
          </cell>
          <cell r="AF447">
            <v>111440</v>
          </cell>
          <cell r="AG447">
            <v>111310</v>
          </cell>
          <cell r="AH447">
            <v>111380</v>
          </cell>
        </row>
        <row r="448">
          <cell r="S448">
            <v>108300</v>
          </cell>
          <cell r="T448">
            <v>108320</v>
          </cell>
          <cell r="U448">
            <v>108270</v>
          </cell>
          <cell r="V448">
            <v>108270</v>
          </cell>
          <cell r="W448">
            <v>115680</v>
          </cell>
          <cell r="X448">
            <v>115720</v>
          </cell>
          <cell r="Y448">
            <v>115660</v>
          </cell>
          <cell r="Z448">
            <v>115700</v>
          </cell>
          <cell r="AA448">
            <v>111210</v>
          </cell>
          <cell r="AB448">
            <v>111320</v>
          </cell>
          <cell r="AC448">
            <v>111190</v>
          </cell>
          <cell r="AD448">
            <v>111290</v>
          </cell>
          <cell r="AE448">
            <v>111380</v>
          </cell>
          <cell r="AF448">
            <v>111400</v>
          </cell>
          <cell r="AG448">
            <v>111310</v>
          </cell>
          <cell r="AH448">
            <v>111350</v>
          </cell>
        </row>
        <row r="449">
          <cell r="S449">
            <v>108310</v>
          </cell>
          <cell r="T449">
            <v>108340</v>
          </cell>
          <cell r="U449">
            <v>108310</v>
          </cell>
          <cell r="V449">
            <v>108340</v>
          </cell>
          <cell r="W449">
            <v>115690</v>
          </cell>
          <cell r="X449">
            <v>115750</v>
          </cell>
          <cell r="Y449">
            <v>115680</v>
          </cell>
          <cell r="Z449">
            <v>115750</v>
          </cell>
          <cell r="AA449">
            <v>111300</v>
          </cell>
          <cell r="AB449">
            <v>111360</v>
          </cell>
          <cell r="AC449">
            <v>111260</v>
          </cell>
          <cell r="AD449">
            <v>111270</v>
          </cell>
          <cell r="AE449">
            <v>111350</v>
          </cell>
          <cell r="AF449">
            <v>111370</v>
          </cell>
          <cell r="AG449">
            <v>111280</v>
          </cell>
          <cell r="AH449">
            <v>111290</v>
          </cell>
        </row>
        <row r="450">
          <cell r="S450">
            <v>108360</v>
          </cell>
          <cell r="T450">
            <v>108370</v>
          </cell>
          <cell r="U450">
            <v>108360</v>
          </cell>
          <cell r="V450">
            <v>108370</v>
          </cell>
          <cell r="W450">
            <v>115740</v>
          </cell>
          <cell r="X450">
            <v>115770</v>
          </cell>
          <cell r="Y450">
            <v>115640</v>
          </cell>
          <cell r="Z450">
            <v>115680</v>
          </cell>
          <cell r="AA450">
            <v>111270</v>
          </cell>
          <cell r="AB450">
            <v>111330</v>
          </cell>
          <cell r="AC450">
            <v>111230</v>
          </cell>
          <cell r="AD450">
            <v>111230</v>
          </cell>
          <cell r="AE450">
            <v>111290</v>
          </cell>
          <cell r="AF450">
            <v>111350</v>
          </cell>
          <cell r="AG450">
            <v>111170</v>
          </cell>
          <cell r="AH450">
            <v>111240</v>
          </cell>
        </row>
        <row r="451">
          <cell r="S451">
            <v>108380</v>
          </cell>
          <cell r="T451">
            <v>108390</v>
          </cell>
          <cell r="U451">
            <v>108360</v>
          </cell>
          <cell r="V451">
            <v>108390</v>
          </cell>
          <cell r="W451">
            <v>115680</v>
          </cell>
          <cell r="X451">
            <v>115690</v>
          </cell>
          <cell r="Y451">
            <v>115630</v>
          </cell>
          <cell r="Z451">
            <v>115660</v>
          </cell>
          <cell r="AA451">
            <v>111230</v>
          </cell>
          <cell r="AB451">
            <v>111300</v>
          </cell>
          <cell r="AC451">
            <v>111200</v>
          </cell>
          <cell r="AD451">
            <v>111260</v>
          </cell>
          <cell r="AE451">
            <v>111240</v>
          </cell>
          <cell r="AF451">
            <v>111240</v>
          </cell>
          <cell r="AG451">
            <v>110900</v>
          </cell>
          <cell r="AH451">
            <v>110910</v>
          </cell>
        </row>
        <row r="452">
          <cell r="S452">
            <v>108400</v>
          </cell>
          <cell r="T452">
            <v>108400</v>
          </cell>
          <cell r="U452">
            <v>108400</v>
          </cell>
          <cell r="V452">
            <v>108400</v>
          </cell>
          <cell r="W452">
            <v>115670</v>
          </cell>
          <cell r="X452">
            <v>115750</v>
          </cell>
          <cell r="Y452">
            <v>115670</v>
          </cell>
          <cell r="Z452">
            <v>115690</v>
          </cell>
          <cell r="AA452">
            <v>111260</v>
          </cell>
          <cell r="AB452">
            <v>111320</v>
          </cell>
          <cell r="AC452">
            <v>111240</v>
          </cell>
          <cell r="AD452">
            <v>111300</v>
          </cell>
          <cell r="AE452">
            <v>110920</v>
          </cell>
          <cell r="AF452">
            <v>110920</v>
          </cell>
          <cell r="AG452">
            <v>110760</v>
          </cell>
          <cell r="AH452">
            <v>110830</v>
          </cell>
        </row>
        <row r="453">
          <cell r="S453">
            <v>108330</v>
          </cell>
          <cell r="T453">
            <v>108330</v>
          </cell>
          <cell r="U453">
            <v>108290</v>
          </cell>
          <cell r="V453">
            <v>108290</v>
          </cell>
          <cell r="W453">
            <v>115700</v>
          </cell>
          <cell r="X453">
            <v>115730</v>
          </cell>
          <cell r="Y453">
            <v>115680</v>
          </cell>
          <cell r="Z453">
            <v>115710</v>
          </cell>
          <cell r="AA453">
            <v>111310</v>
          </cell>
          <cell r="AB453">
            <v>111380</v>
          </cell>
          <cell r="AC453">
            <v>111250</v>
          </cell>
          <cell r="AD453">
            <v>111260</v>
          </cell>
          <cell r="AE453">
            <v>110830</v>
          </cell>
          <cell r="AF453">
            <v>110870</v>
          </cell>
          <cell r="AG453">
            <v>110780</v>
          </cell>
          <cell r="AH453">
            <v>110840</v>
          </cell>
        </row>
        <row r="454">
          <cell r="S454">
            <v>108290</v>
          </cell>
          <cell r="T454">
            <v>108320</v>
          </cell>
          <cell r="U454">
            <v>108290</v>
          </cell>
          <cell r="V454">
            <v>108320</v>
          </cell>
          <cell r="W454">
            <v>115720</v>
          </cell>
          <cell r="X454">
            <v>115720</v>
          </cell>
          <cell r="Y454">
            <v>115680</v>
          </cell>
          <cell r="Z454">
            <v>115690</v>
          </cell>
          <cell r="AA454">
            <v>111260</v>
          </cell>
          <cell r="AB454">
            <v>111280</v>
          </cell>
          <cell r="AC454">
            <v>111190</v>
          </cell>
          <cell r="AD454">
            <v>111210</v>
          </cell>
          <cell r="AE454">
            <v>110840</v>
          </cell>
          <cell r="AF454">
            <v>110840</v>
          </cell>
          <cell r="AG454">
            <v>110740</v>
          </cell>
          <cell r="AH454">
            <v>110750</v>
          </cell>
        </row>
        <row r="455">
          <cell r="S455">
            <v>108350</v>
          </cell>
          <cell r="T455">
            <v>108370</v>
          </cell>
          <cell r="U455">
            <v>108350</v>
          </cell>
          <cell r="V455">
            <v>108370</v>
          </cell>
          <cell r="W455">
            <v>115690</v>
          </cell>
          <cell r="X455">
            <v>115750</v>
          </cell>
          <cell r="Y455">
            <v>115690</v>
          </cell>
          <cell r="Z455">
            <v>115720</v>
          </cell>
          <cell r="AA455">
            <v>111190</v>
          </cell>
          <cell r="AB455">
            <v>111210</v>
          </cell>
          <cell r="AC455">
            <v>111070</v>
          </cell>
          <cell r="AD455">
            <v>111090</v>
          </cell>
          <cell r="AE455">
            <v>110740</v>
          </cell>
          <cell r="AF455">
            <v>110980</v>
          </cell>
          <cell r="AG455">
            <v>110730</v>
          </cell>
          <cell r="AH455">
            <v>110940</v>
          </cell>
        </row>
        <row r="456">
          <cell r="S456">
            <v>108370</v>
          </cell>
          <cell r="T456">
            <v>108370</v>
          </cell>
          <cell r="U456">
            <v>108370</v>
          </cell>
          <cell r="V456">
            <v>108370</v>
          </cell>
          <cell r="W456">
            <v>115730</v>
          </cell>
          <cell r="X456">
            <v>115790</v>
          </cell>
          <cell r="Y456">
            <v>115720</v>
          </cell>
          <cell r="Z456">
            <v>115770</v>
          </cell>
          <cell r="AA456">
            <v>111100</v>
          </cell>
          <cell r="AB456">
            <v>111160</v>
          </cell>
          <cell r="AC456">
            <v>111060</v>
          </cell>
          <cell r="AD456">
            <v>111070</v>
          </cell>
          <cell r="AE456">
            <v>110960</v>
          </cell>
          <cell r="AF456">
            <v>111000</v>
          </cell>
          <cell r="AG456">
            <v>110780</v>
          </cell>
          <cell r="AH456">
            <v>110890</v>
          </cell>
        </row>
        <row r="457">
          <cell r="S457">
            <v>108350</v>
          </cell>
          <cell r="T457">
            <v>108350</v>
          </cell>
          <cell r="U457">
            <v>108350</v>
          </cell>
          <cell r="V457">
            <v>108350</v>
          </cell>
          <cell r="W457">
            <v>115780</v>
          </cell>
          <cell r="X457">
            <v>115830</v>
          </cell>
          <cell r="Y457">
            <v>115760</v>
          </cell>
          <cell r="Z457">
            <v>115820</v>
          </cell>
          <cell r="AA457">
            <v>111070</v>
          </cell>
          <cell r="AB457">
            <v>111120</v>
          </cell>
          <cell r="AC457">
            <v>111020</v>
          </cell>
          <cell r="AD457">
            <v>111090</v>
          </cell>
          <cell r="AE457">
            <v>110890</v>
          </cell>
          <cell r="AF457">
            <v>110950</v>
          </cell>
          <cell r="AG457">
            <v>110790</v>
          </cell>
          <cell r="AH457">
            <v>110940</v>
          </cell>
        </row>
        <row r="458">
          <cell r="S458">
            <v>108370</v>
          </cell>
          <cell r="T458">
            <v>108370</v>
          </cell>
          <cell r="U458">
            <v>108370</v>
          </cell>
          <cell r="V458">
            <v>108370</v>
          </cell>
          <cell r="W458">
            <v>115810</v>
          </cell>
          <cell r="X458">
            <v>115830</v>
          </cell>
          <cell r="Y458">
            <v>115780</v>
          </cell>
          <cell r="Z458">
            <v>115820</v>
          </cell>
          <cell r="AA458">
            <v>111100</v>
          </cell>
          <cell r="AB458">
            <v>111180</v>
          </cell>
          <cell r="AC458">
            <v>111100</v>
          </cell>
          <cell r="AD458">
            <v>111130</v>
          </cell>
          <cell r="AE458">
            <v>110940</v>
          </cell>
          <cell r="AF458">
            <v>111010</v>
          </cell>
          <cell r="AG458">
            <v>110930</v>
          </cell>
          <cell r="AH458">
            <v>111000</v>
          </cell>
        </row>
        <row r="459">
          <cell r="S459">
            <v>108360</v>
          </cell>
          <cell r="T459">
            <v>108460</v>
          </cell>
          <cell r="U459">
            <v>108360</v>
          </cell>
          <cell r="V459">
            <v>108440</v>
          </cell>
          <cell r="W459">
            <v>115820</v>
          </cell>
          <cell r="X459">
            <v>115910</v>
          </cell>
          <cell r="Y459">
            <v>115810</v>
          </cell>
          <cell r="Z459">
            <v>115890</v>
          </cell>
          <cell r="AA459">
            <v>111130</v>
          </cell>
          <cell r="AB459">
            <v>111250</v>
          </cell>
          <cell r="AC459">
            <v>111120</v>
          </cell>
          <cell r="AD459">
            <v>111250</v>
          </cell>
          <cell r="AE459">
            <v>111000</v>
          </cell>
          <cell r="AF459">
            <v>111050</v>
          </cell>
          <cell r="AG459">
            <v>110970</v>
          </cell>
          <cell r="AH459">
            <v>111000</v>
          </cell>
        </row>
        <row r="460">
          <cell r="S460">
            <v>108460</v>
          </cell>
          <cell r="T460">
            <v>108470</v>
          </cell>
          <cell r="U460">
            <v>108460</v>
          </cell>
          <cell r="V460">
            <v>108470</v>
          </cell>
          <cell r="W460">
            <v>115900</v>
          </cell>
          <cell r="X460">
            <v>115960</v>
          </cell>
          <cell r="Y460">
            <v>115890</v>
          </cell>
          <cell r="Z460">
            <v>115930</v>
          </cell>
          <cell r="AA460">
            <v>111240</v>
          </cell>
          <cell r="AB460">
            <v>111320</v>
          </cell>
          <cell r="AC460">
            <v>111240</v>
          </cell>
          <cell r="AD460">
            <v>111280</v>
          </cell>
          <cell r="AE460">
            <v>111000</v>
          </cell>
          <cell r="AF460">
            <v>111010</v>
          </cell>
          <cell r="AG460">
            <v>110930</v>
          </cell>
          <cell r="AH460">
            <v>111000</v>
          </cell>
        </row>
        <row r="461">
          <cell r="S461">
            <v>108480</v>
          </cell>
          <cell r="T461">
            <v>108520</v>
          </cell>
          <cell r="U461">
            <v>108450</v>
          </cell>
          <cell r="V461">
            <v>108520</v>
          </cell>
          <cell r="W461">
            <v>115930</v>
          </cell>
          <cell r="X461">
            <v>115990</v>
          </cell>
          <cell r="Y461">
            <v>115930</v>
          </cell>
          <cell r="Z461">
            <v>115930</v>
          </cell>
          <cell r="AA461">
            <v>111290</v>
          </cell>
          <cell r="AB461">
            <v>111460</v>
          </cell>
          <cell r="AC461">
            <v>111280</v>
          </cell>
          <cell r="AD461">
            <v>111450</v>
          </cell>
          <cell r="AE461">
            <v>111000</v>
          </cell>
          <cell r="AF461">
            <v>111010</v>
          </cell>
          <cell r="AG461">
            <v>110930</v>
          </cell>
          <cell r="AH461">
            <v>110990</v>
          </cell>
        </row>
        <row r="462">
          <cell r="S462">
            <v>108490</v>
          </cell>
          <cell r="T462">
            <v>108500</v>
          </cell>
          <cell r="U462">
            <v>108450</v>
          </cell>
          <cell r="V462">
            <v>108480</v>
          </cell>
          <cell r="W462">
            <v>115940</v>
          </cell>
          <cell r="X462">
            <v>115980</v>
          </cell>
          <cell r="Y462">
            <v>115940</v>
          </cell>
          <cell r="Z462">
            <v>115950</v>
          </cell>
          <cell r="AA462">
            <v>111460</v>
          </cell>
          <cell r="AB462">
            <v>111480</v>
          </cell>
          <cell r="AC462">
            <v>111380</v>
          </cell>
          <cell r="AD462">
            <v>111380</v>
          </cell>
          <cell r="AE462">
            <v>111000</v>
          </cell>
          <cell r="AF462">
            <v>111030</v>
          </cell>
          <cell r="AG462">
            <v>110910</v>
          </cell>
          <cell r="AH462">
            <v>110910</v>
          </cell>
        </row>
        <row r="463">
          <cell r="S463">
            <v>108460</v>
          </cell>
          <cell r="T463">
            <v>108470</v>
          </cell>
          <cell r="U463">
            <v>108450</v>
          </cell>
          <cell r="V463">
            <v>108460</v>
          </cell>
          <cell r="W463">
            <v>115950</v>
          </cell>
          <cell r="X463">
            <v>116030</v>
          </cell>
          <cell r="Y463">
            <v>115930</v>
          </cell>
          <cell r="Z463">
            <v>115930</v>
          </cell>
          <cell r="AA463">
            <v>111380</v>
          </cell>
          <cell r="AB463">
            <v>111380</v>
          </cell>
          <cell r="AC463">
            <v>111300</v>
          </cell>
          <cell r="AD463">
            <v>111300</v>
          </cell>
          <cell r="AE463">
            <v>110930</v>
          </cell>
          <cell r="AF463">
            <v>110950</v>
          </cell>
          <cell r="AG463">
            <v>110890</v>
          </cell>
          <cell r="AH463">
            <v>110950</v>
          </cell>
        </row>
        <row r="464">
          <cell r="S464">
            <v>108490</v>
          </cell>
          <cell r="T464">
            <v>108630</v>
          </cell>
          <cell r="U464">
            <v>108490</v>
          </cell>
          <cell r="V464">
            <v>108580</v>
          </cell>
          <cell r="W464">
            <v>115930</v>
          </cell>
          <cell r="X464">
            <v>115970</v>
          </cell>
          <cell r="Y464">
            <v>115930</v>
          </cell>
          <cell r="Z464">
            <v>115950</v>
          </cell>
          <cell r="AA464">
            <v>111300</v>
          </cell>
          <cell r="AB464">
            <v>111390</v>
          </cell>
          <cell r="AC464">
            <v>111300</v>
          </cell>
          <cell r="AD464">
            <v>111340</v>
          </cell>
          <cell r="AE464">
            <v>110940</v>
          </cell>
          <cell r="AF464">
            <v>111020</v>
          </cell>
          <cell r="AG464">
            <v>110900</v>
          </cell>
          <cell r="AH464">
            <v>111010</v>
          </cell>
        </row>
        <row r="465">
          <cell r="S465">
            <v>108580</v>
          </cell>
          <cell r="T465">
            <v>108610</v>
          </cell>
          <cell r="U465">
            <v>108580</v>
          </cell>
          <cell r="V465">
            <v>108610</v>
          </cell>
          <cell r="W465">
            <v>115960</v>
          </cell>
          <cell r="X465">
            <v>115980</v>
          </cell>
          <cell r="Y465">
            <v>115920</v>
          </cell>
          <cell r="Z465">
            <v>115940</v>
          </cell>
          <cell r="AA465">
            <v>111330</v>
          </cell>
          <cell r="AB465">
            <v>111390</v>
          </cell>
          <cell r="AC465">
            <v>111310</v>
          </cell>
          <cell r="AD465">
            <v>111350</v>
          </cell>
          <cell r="AE465">
            <v>111010</v>
          </cell>
          <cell r="AF465">
            <v>111010</v>
          </cell>
          <cell r="AG465">
            <v>110940</v>
          </cell>
          <cell r="AH465">
            <v>110970</v>
          </cell>
        </row>
        <row r="466">
          <cell r="S466">
            <v>108590</v>
          </cell>
          <cell r="T466">
            <v>108610</v>
          </cell>
          <cell r="U466">
            <v>108580</v>
          </cell>
          <cell r="V466">
            <v>108580</v>
          </cell>
          <cell r="W466">
            <v>115930</v>
          </cell>
          <cell r="X466">
            <v>115980</v>
          </cell>
          <cell r="Y466">
            <v>115880</v>
          </cell>
          <cell r="Z466">
            <v>115900</v>
          </cell>
          <cell r="AA466">
            <v>111350</v>
          </cell>
          <cell r="AB466">
            <v>111370</v>
          </cell>
          <cell r="AC466">
            <v>111320</v>
          </cell>
          <cell r="AD466">
            <v>111350</v>
          </cell>
          <cell r="AE466">
            <v>110970</v>
          </cell>
          <cell r="AF466">
            <v>111000</v>
          </cell>
          <cell r="AG466">
            <v>110960</v>
          </cell>
          <cell r="AH466">
            <v>110980</v>
          </cell>
        </row>
        <row r="467">
          <cell r="S467">
            <v>108500</v>
          </cell>
          <cell r="T467">
            <v>108500</v>
          </cell>
          <cell r="U467">
            <v>108500</v>
          </cell>
          <cell r="V467">
            <v>108500</v>
          </cell>
          <cell r="W467">
            <v>115900</v>
          </cell>
          <cell r="X467">
            <v>116020</v>
          </cell>
          <cell r="Y467">
            <v>115900</v>
          </cell>
          <cell r="Z467">
            <v>116000</v>
          </cell>
          <cell r="AA467">
            <v>111360</v>
          </cell>
          <cell r="AB467">
            <v>111410</v>
          </cell>
          <cell r="AC467">
            <v>111330</v>
          </cell>
          <cell r="AD467">
            <v>111380</v>
          </cell>
          <cell r="AE467">
            <v>110990</v>
          </cell>
          <cell r="AF467">
            <v>110990</v>
          </cell>
          <cell r="AG467">
            <v>110870</v>
          </cell>
          <cell r="AH467">
            <v>110880</v>
          </cell>
        </row>
        <row r="468">
          <cell r="S468">
            <v>108510</v>
          </cell>
          <cell r="T468">
            <v>108520</v>
          </cell>
          <cell r="U468">
            <v>108490</v>
          </cell>
          <cell r="V468">
            <v>108520</v>
          </cell>
          <cell r="W468">
            <v>116000</v>
          </cell>
          <cell r="X468">
            <v>116120</v>
          </cell>
          <cell r="Y468">
            <v>116000</v>
          </cell>
          <cell r="Z468">
            <v>116050</v>
          </cell>
          <cell r="AA468">
            <v>111380</v>
          </cell>
          <cell r="AB468">
            <v>111400</v>
          </cell>
          <cell r="AC468">
            <v>111300</v>
          </cell>
          <cell r="AD468">
            <v>111310</v>
          </cell>
          <cell r="AE468">
            <v>110870</v>
          </cell>
          <cell r="AF468">
            <v>110930</v>
          </cell>
          <cell r="AG468">
            <v>110840</v>
          </cell>
          <cell r="AH468">
            <v>110900</v>
          </cell>
        </row>
        <row r="469">
          <cell r="S469">
            <v>108530</v>
          </cell>
          <cell r="T469">
            <v>108530</v>
          </cell>
          <cell r="U469">
            <v>108520</v>
          </cell>
          <cell r="V469">
            <v>108520</v>
          </cell>
          <cell r="W469">
            <v>116050</v>
          </cell>
          <cell r="X469">
            <v>116150</v>
          </cell>
          <cell r="Y469">
            <v>116050</v>
          </cell>
          <cell r="Z469">
            <v>116140</v>
          </cell>
          <cell r="AA469">
            <v>111310</v>
          </cell>
          <cell r="AB469">
            <v>111320</v>
          </cell>
          <cell r="AC469">
            <v>111220</v>
          </cell>
          <cell r="AD469">
            <v>111260</v>
          </cell>
          <cell r="AE469">
            <v>110910</v>
          </cell>
          <cell r="AF469">
            <v>111000</v>
          </cell>
          <cell r="AG469">
            <v>110910</v>
          </cell>
          <cell r="AH469">
            <v>110990</v>
          </cell>
        </row>
        <row r="470">
          <cell r="S470">
            <v>108490</v>
          </cell>
          <cell r="T470">
            <v>108530</v>
          </cell>
          <cell r="U470">
            <v>108480</v>
          </cell>
          <cell r="V470">
            <v>108530</v>
          </cell>
          <cell r="W470">
            <v>116140</v>
          </cell>
          <cell r="X470">
            <v>116150</v>
          </cell>
          <cell r="Y470">
            <v>116070</v>
          </cell>
          <cell r="Z470">
            <v>116120</v>
          </cell>
          <cell r="AA470">
            <v>111250</v>
          </cell>
          <cell r="AB470">
            <v>111290</v>
          </cell>
          <cell r="AC470">
            <v>111200</v>
          </cell>
          <cell r="AD470">
            <v>111240</v>
          </cell>
          <cell r="AE470">
            <v>110990</v>
          </cell>
          <cell r="AF470">
            <v>111040</v>
          </cell>
          <cell r="AG470">
            <v>110960</v>
          </cell>
          <cell r="AH470">
            <v>110970</v>
          </cell>
        </row>
        <row r="471">
          <cell r="S471">
            <v>108600</v>
          </cell>
          <cell r="T471">
            <v>108600</v>
          </cell>
          <cell r="U471">
            <v>108540</v>
          </cell>
          <cell r="V471">
            <v>108580</v>
          </cell>
          <cell r="W471">
            <v>116120</v>
          </cell>
          <cell r="X471">
            <v>116230</v>
          </cell>
          <cell r="Y471">
            <v>116100</v>
          </cell>
          <cell r="Z471">
            <v>116180</v>
          </cell>
          <cell r="AA471">
            <v>111250</v>
          </cell>
          <cell r="AB471">
            <v>111320</v>
          </cell>
          <cell r="AC471">
            <v>111230</v>
          </cell>
          <cell r="AD471">
            <v>111240</v>
          </cell>
          <cell r="AE471">
            <v>110960</v>
          </cell>
          <cell r="AF471">
            <v>111100</v>
          </cell>
          <cell r="AG471">
            <v>110910</v>
          </cell>
          <cell r="AH471">
            <v>111100</v>
          </cell>
        </row>
        <row r="472">
          <cell r="S472">
            <v>108570</v>
          </cell>
          <cell r="T472">
            <v>108620</v>
          </cell>
          <cell r="U472">
            <v>108320</v>
          </cell>
          <cell r="V472">
            <v>108320</v>
          </cell>
          <cell r="W472">
            <v>116190</v>
          </cell>
          <cell r="X472">
            <v>116240</v>
          </cell>
          <cell r="Y472">
            <v>116180</v>
          </cell>
          <cell r="Z472">
            <v>116220</v>
          </cell>
          <cell r="AA472">
            <v>111250</v>
          </cell>
          <cell r="AB472">
            <v>111280</v>
          </cell>
          <cell r="AC472">
            <v>111170</v>
          </cell>
          <cell r="AD472">
            <v>111220</v>
          </cell>
          <cell r="AE472">
            <v>111100</v>
          </cell>
          <cell r="AF472">
            <v>111120</v>
          </cell>
          <cell r="AG472">
            <v>111010</v>
          </cell>
          <cell r="AH472">
            <v>111060</v>
          </cell>
        </row>
        <row r="473">
          <cell r="S473">
            <v>108250</v>
          </cell>
          <cell r="T473">
            <v>108260</v>
          </cell>
          <cell r="U473">
            <v>107800</v>
          </cell>
          <cell r="V473">
            <v>107880</v>
          </cell>
          <cell r="W473">
            <v>116210</v>
          </cell>
          <cell r="X473">
            <v>116280</v>
          </cell>
          <cell r="Y473">
            <v>116210</v>
          </cell>
          <cell r="Z473">
            <v>116250</v>
          </cell>
          <cell r="AA473">
            <v>111220</v>
          </cell>
          <cell r="AB473">
            <v>111280</v>
          </cell>
          <cell r="AC473">
            <v>111190</v>
          </cell>
          <cell r="AD473">
            <v>111230</v>
          </cell>
          <cell r="AE473">
            <v>111050</v>
          </cell>
          <cell r="AF473">
            <v>111100</v>
          </cell>
          <cell r="AG473">
            <v>110990</v>
          </cell>
          <cell r="AH473">
            <v>111010</v>
          </cell>
        </row>
        <row r="474">
          <cell r="S474">
            <v>107960</v>
          </cell>
          <cell r="T474">
            <v>108020</v>
          </cell>
          <cell r="U474">
            <v>107930</v>
          </cell>
          <cell r="V474">
            <v>108000</v>
          </cell>
          <cell r="W474">
            <v>116250</v>
          </cell>
          <cell r="X474">
            <v>116260</v>
          </cell>
          <cell r="Y474">
            <v>116220</v>
          </cell>
          <cell r="Z474">
            <v>116240</v>
          </cell>
          <cell r="AA474">
            <v>111220</v>
          </cell>
          <cell r="AB474">
            <v>111310</v>
          </cell>
          <cell r="AC474">
            <v>111210</v>
          </cell>
          <cell r="AD474">
            <v>111240</v>
          </cell>
          <cell r="AE474">
            <v>111020</v>
          </cell>
          <cell r="AF474">
            <v>111020</v>
          </cell>
          <cell r="AG474">
            <v>110940</v>
          </cell>
          <cell r="AH474">
            <v>110990</v>
          </cell>
        </row>
        <row r="475">
          <cell r="S475">
            <v>107970</v>
          </cell>
          <cell r="T475">
            <v>107990</v>
          </cell>
          <cell r="U475">
            <v>107910</v>
          </cell>
          <cell r="V475">
            <v>107950</v>
          </cell>
          <cell r="W475">
            <v>116240</v>
          </cell>
          <cell r="X475">
            <v>116300</v>
          </cell>
          <cell r="Y475">
            <v>116220</v>
          </cell>
          <cell r="Z475">
            <v>116300</v>
          </cell>
          <cell r="AA475">
            <v>111230</v>
          </cell>
          <cell r="AB475">
            <v>111250</v>
          </cell>
          <cell r="AC475">
            <v>111180</v>
          </cell>
          <cell r="AD475">
            <v>111210</v>
          </cell>
          <cell r="AE475">
            <v>110980</v>
          </cell>
          <cell r="AF475">
            <v>111080</v>
          </cell>
          <cell r="AG475">
            <v>110960</v>
          </cell>
          <cell r="AH475">
            <v>111080</v>
          </cell>
        </row>
        <row r="476">
          <cell r="S476">
            <v>107920</v>
          </cell>
          <cell r="T476">
            <v>108000</v>
          </cell>
          <cell r="U476">
            <v>107910</v>
          </cell>
          <cell r="V476">
            <v>107920</v>
          </cell>
          <cell r="W476">
            <v>116300</v>
          </cell>
          <cell r="X476">
            <v>116400</v>
          </cell>
          <cell r="Y476">
            <v>116280</v>
          </cell>
          <cell r="Z476">
            <v>116370</v>
          </cell>
          <cell r="AA476">
            <v>111230</v>
          </cell>
          <cell r="AB476">
            <v>111340</v>
          </cell>
          <cell r="AC476">
            <v>111200</v>
          </cell>
          <cell r="AD476">
            <v>111320</v>
          </cell>
          <cell r="AE476">
            <v>111080</v>
          </cell>
          <cell r="AF476">
            <v>111080</v>
          </cell>
          <cell r="AG476">
            <v>110970</v>
          </cell>
          <cell r="AH476">
            <v>110970</v>
          </cell>
        </row>
        <row r="477">
          <cell r="S477">
            <v>107920</v>
          </cell>
          <cell r="T477">
            <v>107950</v>
          </cell>
          <cell r="U477">
            <v>107920</v>
          </cell>
          <cell r="V477">
            <v>107920</v>
          </cell>
          <cell r="W477">
            <v>116370</v>
          </cell>
          <cell r="X477">
            <v>116440</v>
          </cell>
          <cell r="Y477">
            <v>116330</v>
          </cell>
          <cell r="Z477">
            <v>116390</v>
          </cell>
          <cell r="AA477">
            <v>111320</v>
          </cell>
          <cell r="AB477">
            <v>111360</v>
          </cell>
          <cell r="AC477">
            <v>111300</v>
          </cell>
          <cell r="AD477">
            <v>111310</v>
          </cell>
          <cell r="AE477">
            <v>110980</v>
          </cell>
          <cell r="AF477">
            <v>111050</v>
          </cell>
          <cell r="AG477">
            <v>110960</v>
          </cell>
          <cell r="AH477">
            <v>110990</v>
          </cell>
        </row>
        <row r="478">
          <cell r="S478">
            <v>107920</v>
          </cell>
          <cell r="T478">
            <v>107920</v>
          </cell>
          <cell r="U478">
            <v>107850</v>
          </cell>
          <cell r="V478">
            <v>107850</v>
          </cell>
          <cell r="W478">
            <v>116370</v>
          </cell>
          <cell r="X478">
            <v>116370</v>
          </cell>
          <cell r="Y478">
            <v>116270</v>
          </cell>
          <cell r="Z478">
            <v>116320</v>
          </cell>
          <cell r="AA478">
            <v>111310</v>
          </cell>
          <cell r="AB478">
            <v>111340</v>
          </cell>
          <cell r="AC478">
            <v>111270</v>
          </cell>
          <cell r="AD478">
            <v>111290</v>
          </cell>
          <cell r="AE478">
            <v>111010</v>
          </cell>
          <cell r="AF478">
            <v>111210</v>
          </cell>
          <cell r="AG478">
            <v>110990</v>
          </cell>
          <cell r="AH478">
            <v>111140</v>
          </cell>
        </row>
        <row r="479">
          <cell r="S479">
            <v>107850</v>
          </cell>
          <cell r="T479">
            <v>107920</v>
          </cell>
          <cell r="U479">
            <v>107810</v>
          </cell>
          <cell r="V479">
            <v>107880</v>
          </cell>
          <cell r="W479">
            <v>116330</v>
          </cell>
          <cell r="X479">
            <v>116440</v>
          </cell>
          <cell r="Y479">
            <v>116320</v>
          </cell>
          <cell r="Z479">
            <v>116410</v>
          </cell>
          <cell r="AA479">
            <v>111280</v>
          </cell>
          <cell r="AB479">
            <v>111340</v>
          </cell>
          <cell r="AC479">
            <v>111100</v>
          </cell>
          <cell r="AD479">
            <v>111130</v>
          </cell>
          <cell r="AE479">
            <v>111150</v>
          </cell>
          <cell r="AF479">
            <v>111170</v>
          </cell>
          <cell r="AG479">
            <v>111110</v>
          </cell>
          <cell r="AH479">
            <v>111130</v>
          </cell>
        </row>
        <row r="480">
          <cell r="S480">
            <v>107850</v>
          </cell>
          <cell r="T480">
            <v>107930</v>
          </cell>
          <cell r="U480">
            <v>107850</v>
          </cell>
          <cell r="V480">
            <v>107930</v>
          </cell>
          <cell r="W480">
            <v>116410</v>
          </cell>
          <cell r="X480">
            <v>116450</v>
          </cell>
          <cell r="Y480">
            <v>116370</v>
          </cell>
          <cell r="Z480">
            <v>116390</v>
          </cell>
          <cell r="AA480">
            <v>111130</v>
          </cell>
          <cell r="AB480">
            <v>111220</v>
          </cell>
          <cell r="AC480">
            <v>111120</v>
          </cell>
          <cell r="AD480">
            <v>111130</v>
          </cell>
          <cell r="AE480">
            <v>111140</v>
          </cell>
          <cell r="AF480">
            <v>111190</v>
          </cell>
          <cell r="AG480">
            <v>111110</v>
          </cell>
          <cell r="AH480">
            <v>111160</v>
          </cell>
        </row>
        <row r="481">
          <cell r="S481">
            <v>107950</v>
          </cell>
          <cell r="T481">
            <v>108050</v>
          </cell>
          <cell r="U481">
            <v>107950</v>
          </cell>
          <cell r="V481">
            <v>108050</v>
          </cell>
          <cell r="W481">
            <v>116390</v>
          </cell>
          <cell r="X481">
            <v>116400</v>
          </cell>
          <cell r="Y481">
            <v>116340</v>
          </cell>
          <cell r="Z481">
            <v>116360</v>
          </cell>
          <cell r="AA481">
            <v>111130</v>
          </cell>
          <cell r="AB481">
            <v>111220</v>
          </cell>
          <cell r="AC481">
            <v>111130</v>
          </cell>
          <cell r="AD481">
            <v>111210</v>
          </cell>
          <cell r="AE481">
            <v>111150</v>
          </cell>
          <cell r="AF481">
            <v>111160</v>
          </cell>
          <cell r="AG481">
            <v>111090</v>
          </cell>
          <cell r="AH481">
            <v>111150</v>
          </cell>
        </row>
        <row r="482">
          <cell r="S482">
            <v>108060</v>
          </cell>
          <cell r="T482">
            <v>108160</v>
          </cell>
          <cell r="U482">
            <v>108060</v>
          </cell>
          <cell r="V482">
            <v>108110</v>
          </cell>
          <cell r="W482">
            <v>116360</v>
          </cell>
          <cell r="X482">
            <v>116400</v>
          </cell>
          <cell r="Y482">
            <v>116360</v>
          </cell>
          <cell r="Z482">
            <v>116370</v>
          </cell>
          <cell r="AA482">
            <v>111210</v>
          </cell>
          <cell r="AB482">
            <v>111310</v>
          </cell>
          <cell r="AC482">
            <v>111200</v>
          </cell>
          <cell r="AD482">
            <v>111300</v>
          </cell>
          <cell r="AE482">
            <v>111160</v>
          </cell>
          <cell r="AF482">
            <v>111170</v>
          </cell>
          <cell r="AG482">
            <v>111060</v>
          </cell>
          <cell r="AH482">
            <v>111070</v>
          </cell>
        </row>
        <row r="483">
          <cell r="S483">
            <v>108120</v>
          </cell>
          <cell r="T483">
            <v>108160</v>
          </cell>
          <cell r="U483">
            <v>108090</v>
          </cell>
          <cell r="V483">
            <v>108150</v>
          </cell>
          <cell r="W483">
            <v>116370</v>
          </cell>
          <cell r="X483">
            <v>116430</v>
          </cell>
          <cell r="Y483">
            <v>116340</v>
          </cell>
          <cell r="Z483">
            <v>116340</v>
          </cell>
          <cell r="AA483">
            <v>111320</v>
          </cell>
          <cell r="AB483">
            <v>111350</v>
          </cell>
          <cell r="AC483">
            <v>111260</v>
          </cell>
          <cell r="AD483">
            <v>111290</v>
          </cell>
          <cell r="AE483">
            <v>111060</v>
          </cell>
          <cell r="AF483">
            <v>111060</v>
          </cell>
          <cell r="AG483">
            <v>111020</v>
          </cell>
          <cell r="AH483">
            <v>111040</v>
          </cell>
        </row>
        <row r="484">
          <cell r="S484">
            <v>108120</v>
          </cell>
          <cell r="T484">
            <v>108170</v>
          </cell>
          <cell r="U484">
            <v>108100</v>
          </cell>
          <cell r="V484">
            <v>108170</v>
          </cell>
          <cell r="W484">
            <v>116340</v>
          </cell>
          <cell r="X484">
            <v>116380</v>
          </cell>
          <cell r="Y484">
            <v>116320</v>
          </cell>
          <cell r="Z484">
            <v>116340</v>
          </cell>
          <cell r="AA484">
            <v>111300</v>
          </cell>
          <cell r="AB484">
            <v>111430</v>
          </cell>
          <cell r="AC484">
            <v>111280</v>
          </cell>
          <cell r="AD484">
            <v>111370</v>
          </cell>
          <cell r="AE484">
            <v>111030</v>
          </cell>
          <cell r="AF484">
            <v>111040</v>
          </cell>
          <cell r="AG484">
            <v>110960</v>
          </cell>
          <cell r="AH484">
            <v>110980</v>
          </cell>
        </row>
        <row r="485">
          <cell r="S485">
            <v>108120</v>
          </cell>
          <cell r="T485">
            <v>108120</v>
          </cell>
          <cell r="U485">
            <v>108120</v>
          </cell>
          <cell r="V485">
            <v>108120</v>
          </cell>
          <cell r="W485">
            <v>116330</v>
          </cell>
          <cell r="X485">
            <v>116360</v>
          </cell>
          <cell r="Y485">
            <v>116310</v>
          </cell>
          <cell r="Z485">
            <v>116320</v>
          </cell>
          <cell r="AA485">
            <v>111370</v>
          </cell>
          <cell r="AB485">
            <v>111420</v>
          </cell>
          <cell r="AC485">
            <v>111250</v>
          </cell>
          <cell r="AD485">
            <v>111260</v>
          </cell>
          <cell r="AE485">
            <v>110990</v>
          </cell>
          <cell r="AF485">
            <v>111060</v>
          </cell>
          <cell r="AG485">
            <v>110980</v>
          </cell>
          <cell r="AH485">
            <v>111060</v>
          </cell>
        </row>
        <row r="486">
          <cell r="S486">
            <v>108100</v>
          </cell>
          <cell r="T486">
            <v>108100</v>
          </cell>
          <cell r="U486">
            <v>108080</v>
          </cell>
          <cell r="V486">
            <v>108080</v>
          </cell>
          <cell r="W486">
            <v>116310</v>
          </cell>
          <cell r="X486">
            <v>116320</v>
          </cell>
          <cell r="Y486">
            <v>116270</v>
          </cell>
          <cell r="Z486">
            <v>116300</v>
          </cell>
          <cell r="AA486">
            <v>111250</v>
          </cell>
          <cell r="AB486">
            <v>111310</v>
          </cell>
          <cell r="AC486">
            <v>111130</v>
          </cell>
          <cell r="AD486">
            <v>111140</v>
          </cell>
          <cell r="AE486">
            <v>111060</v>
          </cell>
          <cell r="AF486">
            <v>111070</v>
          </cell>
          <cell r="AG486">
            <v>111030</v>
          </cell>
          <cell r="AH486">
            <v>111050</v>
          </cell>
        </row>
        <row r="487">
          <cell r="S487">
            <v>108160</v>
          </cell>
          <cell r="T487">
            <v>108160</v>
          </cell>
          <cell r="U487">
            <v>108160</v>
          </cell>
          <cell r="V487">
            <v>108160</v>
          </cell>
          <cell r="W487">
            <v>116290</v>
          </cell>
          <cell r="X487">
            <v>116320</v>
          </cell>
          <cell r="Y487">
            <v>116260</v>
          </cell>
          <cell r="Z487">
            <v>116270</v>
          </cell>
          <cell r="AA487">
            <v>111150</v>
          </cell>
          <cell r="AB487">
            <v>111230</v>
          </cell>
          <cell r="AC487">
            <v>111110</v>
          </cell>
          <cell r="AD487">
            <v>111120</v>
          </cell>
          <cell r="AE487">
            <v>111060</v>
          </cell>
          <cell r="AF487">
            <v>111080</v>
          </cell>
          <cell r="AG487">
            <v>110940</v>
          </cell>
          <cell r="AH487">
            <v>110960</v>
          </cell>
        </row>
        <row r="488">
          <cell r="S488">
            <v>108160</v>
          </cell>
          <cell r="T488">
            <v>108160</v>
          </cell>
          <cell r="U488">
            <v>108160</v>
          </cell>
          <cell r="V488">
            <v>108160</v>
          </cell>
          <cell r="W488">
            <v>116270</v>
          </cell>
          <cell r="X488">
            <v>116290</v>
          </cell>
          <cell r="Y488">
            <v>116230</v>
          </cell>
          <cell r="Z488">
            <v>116240</v>
          </cell>
          <cell r="AA488">
            <v>111130</v>
          </cell>
          <cell r="AB488">
            <v>111190</v>
          </cell>
          <cell r="AC488">
            <v>110980</v>
          </cell>
          <cell r="AD488">
            <v>111000</v>
          </cell>
          <cell r="AE488">
            <v>110950</v>
          </cell>
          <cell r="AF488">
            <v>111000</v>
          </cell>
          <cell r="AG488">
            <v>110900</v>
          </cell>
          <cell r="AH488">
            <v>110970</v>
          </cell>
        </row>
        <row r="489">
          <cell r="S489">
            <v>108070</v>
          </cell>
          <cell r="T489">
            <v>108070</v>
          </cell>
          <cell r="U489">
            <v>108070</v>
          </cell>
          <cell r="V489">
            <v>108070</v>
          </cell>
          <cell r="W489">
            <v>116240</v>
          </cell>
          <cell r="X489">
            <v>116290</v>
          </cell>
          <cell r="Y489">
            <v>116230</v>
          </cell>
          <cell r="Z489">
            <v>116270</v>
          </cell>
          <cell r="AA489">
            <v>111000</v>
          </cell>
          <cell r="AB489">
            <v>111010</v>
          </cell>
          <cell r="AC489">
            <v>110890</v>
          </cell>
          <cell r="AD489">
            <v>110960</v>
          </cell>
          <cell r="AE489">
            <v>110960</v>
          </cell>
          <cell r="AF489">
            <v>110960</v>
          </cell>
          <cell r="AG489">
            <v>110830</v>
          </cell>
          <cell r="AH489">
            <v>110900</v>
          </cell>
        </row>
        <row r="490">
          <cell r="S490">
            <v>108070</v>
          </cell>
          <cell r="T490">
            <v>108070</v>
          </cell>
          <cell r="U490">
            <v>108070</v>
          </cell>
          <cell r="V490">
            <v>108070</v>
          </cell>
          <cell r="W490">
            <v>116270</v>
          </cell>
          <cell r="X490">
            <v>116390</v>
          </cell>
          <cell r="Y490">
            <v>116260</v>
          </cell>
          <cell r="Z490">
            <v>116330</v>
          </cell>
          <cell r="AA490">
            <v>110970</v>
          </cell>
          <cell r="AB490">
            <v>111020</v>
          </cell>
          <cell r="AC490">
            <v>110930</v>
          </cell>
          <cell r="AD490">
            <v>110940</v>
          </cell>
          <cell r="AE490">
            <v>110900</v>
          </cell>
          <cell r="AF490">
            <v>110940</v>
          </cell>
          <cell r="AG490">
            <v>110820</v>
          </cell>
          <cell r="AH490">
            <v>110880</v>
          </cell>
        </row>
        <row r="491">
          <cell r="S491">
            <v>108070</v>
          </cell>
          <cell r="T491">
            <v>108070</v>
          </cell>
          <cell r="U491">
            <v>108050</v>
          </cell>
          <cell r="V491">
            <v>108060</v>
          </cell>
          <cell r="W491">
            <v>116340</v>
          </cell>
          <cell r="X491">
            <v>116400</v>
          </cell>
          <cell r="Y491">
            <v>116330</v>
          </cell>
          <cell r="Z491">
            <v>116390</v>
          </cell>
          <cell r="AA491">
            <v>110940</v>
          </cell>
          <cell r="AB491">
            <v>110980</v>
          </cell>
          <cell r="AC491">
            <v>110880</v>
          </cell>
          <cell r="AD491">
            <v>110880</v>
          </cell>
          <cell r="AE491">
            <v>110880</v>
          </cell>
          <cell r="AF491">
            <v>110930</v>
          </cell>
          <cell r="AG491">
            <v>110840</v>
          </cell>
          <cell r="AH491">
            <v>110920</v>
          </cell>
        </row>
        <row r="492">
          <cell r="S492">
            <v>108020</v>
          </cell>
          <cell r="T492">
            <v>108020</v>
          </cell>
          <cell r="U492">
            <v>107890</v>
          </cell>
          <cell r="V492">
            <v>107890</v>
          </cell>
          <cell r="W492">
            <v>116400</v>
          </cell>
          <cell r="X492">
            <v>116470</v>
          </cell>
          <cell r="Y492">
            <v>116380</v>
          </cell>
          <cell r="Z492">
            <v>116420</v>
          </cell>
          <cell r="AA492">
            <v>110890</v>
          </cell>
          <cell r="AB492">
            <v>110960</v>
          </cell>
          <cell r="AC492">
            <v>110880</v>
          </cell>
          <cell r="AD492">
            <v>110920</v>
          </cell>
          <cell r="AE492">
            <v>110910</v>
          </cell>
          <cell r="AF492">
            <v>110950</v>
          </cell>
          <cell r="AG492">
            <v>110900</v>
          </cell>
          <cell r="AH492">
            <v>110950</v>
          </cell>
        </row>
        <row r="493">
          <cell r="S493">
            <v>107860</v>
          </cell>
          <cell r="T493">
            <v>107890</v>
          </cell>
          <cell r="U493">
            <v>107850</v>
          </cell>
          <cell r="V493">
            <v>107850</v>
          </cell>
          <cell r="W493">
            <v>116410</v>
          </cell>
          <cell r="X493">
            <v>116440</v>
          </cell>
          <cell r="Y493">
            <v>116330</v>
          </cell>
          <cell r="Z493">
            <v>116330</v>
          </cell>
          <cell r="AA493">
            <v>110910</v>
          </cell>
          <cell r="AB493">
            <v>111010</v>
          </cell>
          <cell r="AC493">
            <v>110900</v>
          </cell>
          <cell r="AD493">
            <v>110950</v>
          </cell>
          <cell r="AE493">
            <v>110950</v>
          </cell>
          <cell r="AF493">
            <v>111110</v>
          </cell>
          <cell r="AG493">
            <v>110940</v>
          </cell>
          <cell r="AH493">
            <v>111060</v>
          </cell>
        </row>
        <row r="494">
          <cell r="S494">
            <v>107830</v>
          </cell>
          <cell r="T494">
            <v>107830</v>
          </cell>
          <cell r="U494">
            <v>107780</v>
          </cell>
          <cell r="V494">
            <v>107780</v>
          </cell>
          <cell r="W494">
            <v>116340</v>
          </cell>
          <cell r="X494">
            <v>116380</v>
          </cell>
          <cell r="Y494">
            <v>116320</v>
          </cell>
          <cell r="Z494">
            <v>116360</v>
          </cell>
          <cell r="AA494">
            <v>110940</v>
          </cell>
          <cell r="AB494">
            <v>110990</v>
          </cell>
          <cell r="AC494">
            <v>110940</v>
          </cell>
          <cell r="AD494">
            <v>110970</v>
          </cell>
          <cell r="AE494">
            <v>111060</v>
          </cell>
          <cell r="AF494">
            <v>111100</v>
          </cell>
          <cell r="AG494">
            <v>111020</v>
          </cell>
          <cell r="AH494">
            <v>111020</v>
          </cell>
        </row>
        <row r="495">
          <cell r="S495">
            <v>107770</v>
          </cell>
          <cell r="T495">
            <v>107770</v>
          </cell>
          <cell r="U495">
            <v>107720</v>
          </cell>
          <cell r="V495">
            <v>107720</v>
          </cell>
          <cell r="W495">
            <v>116370</v>
          </cell>
          <cell r="X495">
            <v>116430</v>
          </cell>
          <cell r="Y495">
            <v>116360</v>
          </cell>
          <cell r="Z495">
            <v>116410</v>
          </cell>
          <cell r="AA495">
            <v>110970</v>
          </cell>
          <cell r="AB495">
            <v>111010</v>
          </cell>
          <cell r="AC495">
            <v>110940</v>
          </cell>
          <cell r="AD495">
            <v>110960</v>
          </cell>
          <cell r="AE495">
            <v>111030</v>
          </cell>
          <cell r="AF495">
            <v>111030</v>
          </cell>
          <cell r="AG495">
            <v>110990</v>
          </cell>
          <cell r="AH495">
            <v>111030</v>
          </cell>
        </row>
        <row r="496">
          <cell r="S496">
            <v>107710</v>
          </cell>
          <cell r="T496">
            <v>107790</v>
          </cell>
          <cell r="U496">
            <v>107710</v>
          </cell>
          <cell r="V496">
            <v>107790</v>
          </cell>
          <cell r="W496">
            <v>116390</v>
          </cell>
          <cell r="X496">
            <v>116480</v>
          </cell>
          <cell r="Y496">
            <v>116390</v>
          </cell>
          <cell r="Z496">
            <v>116460</v>
          </cell>
          <cell r="AA496">
            <v>110960</v>
          </cell>
          <cell r="AB496">
            <v>111060</v>
          </cell>
          <cell r="AC496">
            <v>110960</v>
          </cell>
          <cell r="AD496">
            <v>111020</v>
          </cell>
          <cell r="AE496">
            <v>111020</v>
          </cell>
          <cell r="AF496">
            <v>111090</v>
          </cell>
          <cell r="AG496">
            <v>111010</v>
          </cell>
          <cell r="AH496">
            <v>111090</v>
          </cell>
        </row>
        <row r="497">
          <cell r="S497">
            <v>107790</v>
          </cell>
          <cell r="T497">
            <v>107790</v>
          </cell>
          <cell r="U497">
            <v>107730</v>
          </cell>
          <cell r="V497">
            <v>107730</v>
          </cell>
          <cell r="W497">
            <v>116480</v>
          </cell>
          <cell r="X497">
            <v>116680</v>
          </cell>
          <cell r="Y497">
            <v>116450</v>
          </cell>
          <cell r="Z497">
            <v>116640</v>
          </cell>
          <cell r="AA497">
            <v>111020</v>
          </cell>
          <cell r="AB497">
            <v>111030</v>
          </cell>
          <cell r="AC497">
            <v>110940</v>
          </cell>
          <cell r="AD497">
            <v>110960</v>
          </cell>
          <cell r="AE497">
            <v>111080</v>
          </cell>
          <cell r="AF497">
            <v>111110</v>
          </cell>
          <cell r="AG497">
            <v>111060</v>
          </cell>
          <cell r="AH497">
            <v>111100</v>
          </cell>
        </row>
        <row r="498">
          <cell r="S498">
            <v>107730</v>
          </cell>
          <cell r="T498">
            <v>107730</v>
          </cell>
          <cell r="U498">
            <v>107730</v>
          </cell>
          <cell r="V498">
            <v>107730</v>
          </cell>
          <cell r="W498">
            <v>116630</v>
          </cell>
          <cell r="X498">
            <v>116660</v>
          </cell>
          <cell r="Y498">
            <v>116590</v>
          </cell>
          <cell r="Z498">
            <v>116650</v>
          </cell>
          <cell r="AA498">
            <v>110960</v>
          </cell>
          <cell r="AB498">
            <v>111020</v>
          </cell>
          <cell r="AC498">
            <v>110890</v>
          </cell>
          <cell r="AD498">
            <v>111010</v>
          </cell>
          <cell r="AE498">
            <v>111100</v>
          </cell>
          <cell r="AF498">
            <v>111120</v>
          </cell>
          <cell r="AG498">
            <v>111070</v>
          </cell>
          <cell r="AH498">
            <v>111090</v>
          </cell>
        </row>
        <row r="499">
          <cell r="S499">
            <v>107870</v>
          </cell>
          <cell r="T499">
            <v>107870</v>
          </cell>
          <cell r="U499">
            <v>107850</v>
          </cell>
          <cell r="V499">
            <v>107850</v>
          </cell>
          <cell r="W499">
            <v>116660</v>
          </cell>
          <cell r="X499">
            <v>116660</v>
          </cell>
          <cell r="Y499">
            <v>116530</v>
          </cell>
          <cell r="Z499">
            <v>116550</v>
          </cell>
          <cell r="AA499">
            <v>111010</v>
          </cell>
          <cell r="AB499">
            <v>111050</v>
          </cell>
          <cell r="AC499">
            <v>110990</v>
          </cell>
          <cell r="AD499">
            <v>111040</v>
          </cell>
          <cell r="AE499">
            <v>111080</v>
          </cell>
          <cell r="AF499">
            <v>111140</v>
          </cell>
          <cell r="AG499">
            <v>111050</v>
          </cell>
          <cell r="AH499">
            <v>111110</v>
          </cell>
        </row>
        <row r="500">
          <cell r="S500">
            <v>107800</v>
          </cell>
          <cell r="T500">
            <v>107800</v>
          </cell>
          <cell r="U500">
            <v>107800</v>
          </cell>
          <cell r="V500">
            <v>107800</v>
          </cell>
          <cell r="W500">
            <v>116540</v>
          </cell>
          <cell r="X500">
            <v>116610</v>
          </cell>
          <cell r="Y500">
            <v>116540</v>
          </cell>
          <cell r="Z500">
            <v>116570</v>
          </cell>
          <cell r="AA500">
            <v>111040</v>
          </cell>
          <cell r="AB500">
            <v>111050</v>
          </cell>
          <cell r="AC500">
            <v>110980</v>
          </cell>
          <cell r="AD500">
            <v>111040</v>
          </cell>
          <cell r="AE500">
            <v>111120</v>
          </cell>
          <cell r="AF500">
            <v>111140</v>
          </cell>
          <cell r="AG500">
            <v>111090</v>
          </cell>
          <cell r="AH500">
            <v>111100</v>
          </cell>
        </row>
        <row r="501">
          <cell r="S501">
            <v>107880</v>
          </cell>
          <cell r="T501">
            <v>107910</v>
          </cell>
          <cell r="U501">
            <v>107880</v>
          </cell>
          <cell r="V501">
            <v>107910</v>
          </cell>
          <cell r="W501">
            <v>116570</v>
          </cell>
          <cell r="X501">
            <v>116650</v>
          </cell>
          <cell r="Y501">
            <v>116560</v>
          </cell>
          <cell r="Z501">
            <v>116610</v>
          </cell>
          <cell r="AA501">
            <v>111050</v>
          </cell>
          <cell r="AB501">
            <v>111070</v>
          </cell>
          <cell r="AC501">
            <v>111010</v>
          </cell>
          <cell r="AD501">
            <v>111030</v>
          </cell>
          <cell r="AE501">
            <v>111100</v>
          </cell>
          <cell r="AF501">
            <v>111150</v>
          </cell>
          <cell r="AG501">
            <v>111080</v>
          </cell>
          <cell r="AH501">
            <v>111120</v>
          </cell>
        </row>
        <row r="502">
          <cell r="S502">
            <v>107920</v>
          </cell>
          <cell r="T502">
            <v>107960</v>
          </cell>
          <cell r="U502">
            <v>107910</v>
          </cell>
          <cell r="V502">
            <v>107910</v>
          </cell>
          <cell r="W502">
            <v>116620</v>
          </cell>
          <cell r="X502">
            <v>116630</v>
          </cell>
          <cell r="Y502">
            <v>116570</v>
          </cell>
          <cell r="Z502">
            <v>116580</v>
          </cell>
          <cell r="AA502">
            <v>111050</v>
          </cell>
          <cell r="AB502">
            <v>111050</v>
          </cell>
          <cell r="AC502">
            <v>110950</v>
          </cell>
          <cell r="AD502">
            <v>110980</v>
          </cell>
          <cell r="AE502">
            <v>111120</v>
          </cell>
          <cell r="AF502">
            <v>111150</v>
          </cell>
          <cell r="AG502">
            <v>111100</v>
          </cell>
          <cell r="AH502">
            <v>111120</v>
          </cell>
        </row>
        <row r="503">
          <cell r="S503">
            <v>107900</v>
          </cell>
          <cell r="T503">
            <v>107900</v>
          </cell>
          <cell r="U503">
            <v>107860</v>
          </cell>
          <cell r="V503">
            <v>107870</v>
          </cell>
          <cell r="W503">
            <v>116560</v>
          </cell>
          <cell r="X503">
            <v>116580</v>
          </cell>
          <cell r="Y503">
            <v>116520</v>
          </cell>
          <cell r="Z503">
            <v>116540</v>
          </cell>
          <cell r="AA503">
            <v>110990</v>
          </cell>
          <cell r="AB503">
            <v>111070</v>
          </cell>
          <cell r="AC503">
            <v>110990</v>
          </cell>
          <cell r="AD503">
            <v>111030</v>
          </cell>
          <cell r="AE503">
            <v>111120</v>
          </cell>
          <cell r="AF503">
            <v>111120</v>
          </cell>
          <cell r="AG503">
            <v>111050</v>
          </cell>
          <cell r="AH503">
            <v>111060</v>
          </cell>
        </row>
        <row r="504">
          <cell r="S504">
            <v>107920</v>
          </cell>
          <cell r="T504">
            <v>107920</v>
          </cell>
          <cell r="U504">
            <v>107900</v>
          </cell>
          <cell r="V504">
            <v>107910</v>
          </cell>
          <cell r="W504">
            <v>116540</v>
          </cell>
          <cell r="X504">
            <v>116590</v>
          </cell>
          <cell r="Y504">
            <v>116520</v>
          </cell>
          <cell r="Z504">
            <v>116580</v>
          </cell>
          <cell r="AA504">
            <v>111040</v>
          </cell>
          <cell r="AB504">
            <v>111110</v>
          </cell>
          <cell r="AC504">
            <v>111040</v>
          </cell>
          <cell r="AD504">
            <v>111100</v>
          </cell>
          <cell r="AE504">
            <v>111050</v>
          </cell>
          <cell r="AF504">
            <v>111050</v>
          </cell>
          <cell r="AG504">
            <v>110990</v>
          </cell>
          <cell r="AH504">
            <v>111000</v>
          </cell>
        </row>
        <row r="505">
          <cell r="S505">
            <v>107890</v>
          </cell>
          <cell r="T505">
            <v>107890</v>
          </cell>
          <cell r="U505">
            <v>107890</v>
          </cell>
          <cell r="V505">
            <v>107890</v>
          </cell>
          <cell r="W505">
            <v>116560</v>
          </cell>
          <cell r="X505">
            <v>116580</v>
          </cell>
          <cell r="Y505">
            <v>116510</v>
          </cell>
          <cell r="Z505">
            <v>116540</v>
          </cell>
          <cell r="AA505">
            <v>111100</v>
          </cell>
          <cell r="AB505">
            <v>111160</v>
          </cell>
          <cell r="AC505">
            <v>111090</v>
          </cell>
          <cell r="AD505">
            <v>111120</v>
          </cell>
          <cell r="AE505">
            <v>110990</v>
          </cell>
          <cell r="AF505">
            <v>111050</v>
          </cell>
          <cell r="AG505">
            <v>110970</v>
          </cell>
          <cell r="AH505">
            <v>110990</v>
          </cell>
        </row>
        <row r="506">
          <cell r="S506">
            <v>107900</v>
          </cell>
          <cell r="T506">
            <v>107900</v>
          </cell>
          <cell r="U506">
            <v>107900</v>
          </cell>
          <cell r="V506">
            <v>107900</v>
          </cell>
          <cell r="W506">
            <v>116540</v>
          </cell>
          <cell r="X506">
            <v>116570</v>
          </cell>
          <cell r="Y506">
            <v>116500</v>
          </cell>
          <cell r="Z506">
            <v>116560</v>
          </cell>
          <cell r="AA506">
            <v>111120</v>
          </cell>
          <cell r="AB506">
            <v>111140</v>
          </cell>
          <cell r="AC506">
            <v>111070</v>
          </cell>
          <cell r="AD506">
            <v>111140</v>
          </cell>
          <cell r="AE506">
            <v>110980</v>
          </cell>
          <cell r="AF506">
            <v>111020</v>
          </cell>
          <cell r="AG506">
            <v>110980</v>
          </cell>
          <cell r="AH506">
            <v>111010</v>
          </cell>
        </row>
        <row r="507">
          <cell r="S507">
            <v>107920</v>
          </cell>
          <cell r="T507">
            <v>107920</v>
          </cell>
          <cell r="U507">
            <v>107860</v>
          </cell>
          <cell r="V507">
            <v>107860</v>
          </cell>
          <cell r="W507">
            <v>116570</v>
          </cell>
          <cell r="X507">
            <v>116580</v>
          </cell>
          <cell r="Y507">
            <v>116520</v>
          </cell>
          <cell r="Z507">
            <v>116550</v>
          </cell>
          <cell r="AA507">
            <v>111140</v>
          </cell>
          <cell r="AB507">
            <v>111150</v>
          </cell>
          <cell r="AC507">
            <v>111040</v>
          </cell>
          <cell r="AD507">
            <v>111080</v>
          </cell>
          <cell r="AE507">
            <v>110990</v>
          </cell>
          <cell r="AF507">
            <v>111000</v>
          </cell>
          <cell r="AG507">
            <v>110920</v>
          </cell>
          <cell r="AH507">
            <v>110980</v>
          </cell>
        </row>
        <row r="508">
          <cell r="S508">
            <v>107890</v>
          </cell>
          <cell r="T508">
            <v>107890</v>
          </cell>
          <cell r="U508">
            <v>107890</v>
          </cell>
          <cell r="V508">
            <v>107890</v>
          </cell>
          <cell r="W508">
            <v>116560</v>
          </cell>
          <cell r="X508">
            <v>116620</v>
          </cell>
          <cell r="Y508">
            <v>116560</v>
          </cell>
          <cell r="Z508">
            <v>116580</v>
          </cell>
          <cell r="AA508">
            <v>111080</v>
          </cell>
          <cell r="AB508">
            <v>111110</v>
          </cell>
          <cell r="AC508">
            <v>111050</v>
          </cell>
          <cell r="AD508">
            <v>111110</v>
          </cell>
          <cell r="AE508">
            <v>110980</v>
          </cell>
          <cell r="AF508">
            <v>111000</v>
          </cell>
          <cell r="AG508">
            <v>110940</v>
          </cell>
          <cell r="AH508">
            <v>110980</v>
          </cell>
        </row>
        <row r="509">
          <cell r="S509">
            <v>107920</v>
          </cell>
          <cell r="T509">
            <v>107920</v>
          </cell>
          <cell r="U509">
            <v>107920</v>
          </cell>
          <cell r="V509">
            <v>107920</v>
          </cell>
          <cell r="W509">
            <v>116570</v>
          </cell>
          <cell r="X509">
            <v>116650</v>
          </cell>
          <cell r="Y509">
            <v>116560</v>
          </cell>
          <cell r="Z509">
            <v>116620</v>
          </cell>
          <cell r="AA509">
            <v>111110</v>
          </cell>
          <cell r="AB509">
            <v>111150</v>
          </cell>
          <cell r="AC509">
            <v>111100</v>
          </cell>
          <cell r="AD509">
            <v>111130</v>
          </cell>
          <cell r="AE509">
            <v>110990</v>
          </cell>
          <cell r="AF509">
            <v>111010</v>
          </cell>
          <cell r="AG509">
            <v>110950</v>
          </cell>
          <cell r="AH509">
            <v>110970</v>
          </cell>
        </row>
        <row r="510">
          <cell r="S510">
            <v>107970</v>
          </cell>
          <cell r="T510">
            <v>107980</v>
          </cell>
          <cell r="U510">
            <v>107970</v>
          </cell>
          <cell r="V510">
            <v>107980</v>
          </cell>
          <cell r="W510">
            <v>116610</v>
          </cell>
          <cell r="X510">
            <v>116630</v>
          </cell>
          <cell r="Y510">
            <v>116580</v>
          </cell>
          <cell r="Z510">
            <v>116620</v>
          </cell>
          <cell r="AA510">
            <v>111140</v>
          </cell>
          <cell r="AB510">
            <v>111310</v>
          </cell>
          <cell r="AC510">
            <v>111130</v>
          </cell>
          <cell r="AD510">
            <v>111280</v>
          </cell>
          <cell r="AE510">
            <v>110990</v>
          </cell>
          <cell r="AF510">
            <v>111010</v>
          </cell>
          <cell r="AG510">
            <v>110910</v>
          </cell>
          <cell r="AH510">
            <v>110960</v>
          </cell>
        </row>
        <row r="511">
          <cell r="S511">
            <v>107960</v>
          </cell>
          <cell r="T511">
            <v>107960</v>
          </cell>
          <cell r="U511">
            <v>107960</v>
          </cell>
          <cell r="V511">
            <v>107960</v>
          </cell>
          <cell r="W511">
            <v>116620</v>
          </cell>
          <cell r="X511">
            <v>116650</v>
          </cell>
          <cell r="Y511">
            <v>116600</v>
          </cell>
          <cell r="Z511">
            <v>116610</v>
          </cell>
          <cell r="AA511">
            <v>111270</v>
          </cell>
          <cell r="AB511">
            <v>111340</v>
          </cell>
          <cell r="AC511">
            <v>111270</v>
          </cell>
          <cell r="AD511">
            <v>111330</v>
          </cell>
          <cell r="AE511">
            <v>110960</v>
          </cell>
          <cell r="AF511">
            <v>111000</v>
          </cell>
          <cell r="AG511">
            <v>110940</v>
          </cell>
          <cell r="AH511">
            <v>110950</v>
          </cell>
        </row>
        <row r="512">
          <cell r="S512">
            <v>107960</v>
          </cell>
          <cell r="T512">
            <v>107960</v>
          </cell>
          <cell r="U512">
            <v>107960</v>
          </cell>
          <cell r="V512">
            <v>107960</v>
          </cell>
          <cell r="W512">
            <v>116610</v>
          </cell>
          <cell r="X512">
            <v>116650</v>
          </cell>
          <cell r="Y512">
            <v>116610</v>
          </cell>
          <cell r="Z512">
            <v>116610</v>
          </cell>
          <cell r="AA512">
            <v>111330</v>
          </cell>
          <cell r="AB512">
            <v>111380</v>
          </cell>
          <cell r="AC512">
            <v>111290</v>
          </cell>
          <cell r="AD512">
            <v>111290</v>
          </cell>
          <cell r="AE512">
            <v>110950</v>
          </cell>
          <cell r="AF512">
            <v>111030</v>
          </cell>
          <cell r="AG512">
            <v>110930</v>
          </cell>
          <cell r="AH512">
            <v>111010</v>
          </cell>
        </row>
        <row r="513">
          <cell r="S513">
            <v>107990</v>
          </cell>
          <cell r="T513">
            <v>108040</v>
          </cell>
          <cell r="U513">
            <v>107990</v>
          </cell>
          <cell r="V513">
            <v>108040</v>
          </cell>
          <cell r="W513">
            <v>116620</v>
          </cell>
          <cell r="X513">
            <v>116650</v>
          </cell>
          <cell r="Y513">
            <v>116610</v>
          </cell>
          <cell r="Z513">
            <v>116630</v>
          </cell>
          <cell r="AA513">
            <v>111290</v>
          </cell>
          <cell r="AB513">
            <v>111440</v>
          </cell>
          <cell r="AC513">
            <v>111270</v>
          </cell>
          <cell r="AD513">
            <v>111420</v>
          </cell>
          <cell r="AE513">
            <v>111020</v>
          </cell>
          <cell r="AF513">
            <v>111050</v>
          </cell>
          <cell r="AG513">
            <v>111000</v>
          </cell>
          <cell r="AH513">
            <v>111040</v>
          </cell>
        </row>
        <row r="514">
          <cell r="S514">
            <v>107980</v>
          </cell>
          <cell r="T514">
            <v>107980</v>
          </cell>
          <cell r="U514">
            <v>107970</v>
          </cell>
          <cell r="V514">
            <v>107970</v>
          </cell>
          <cell r="W514">
            <v>116630</v>
          </cell>
          <cell r="X514">
            <v>116640</v>
          </cell>
          <cell r="Y514">
            <v>116570</v>
          </cell>
          <cell r="Z514">
            <v>116580</v>
          </cell>
          <cell r="AA514">
            <v>111420</v>
          </cell>
          <cell r="AB514">
            <v>111500</v>
          </cell>
          <cell r="AC514">
            <v>111420</v>
          </cell>
          <cell r="AD514">
            <v>111470</v>
          </cell>
          <cell r="AE514">
            <v>111040</v>
          </cell>
          <cell r="AF514">
            <v>111080</v>
          </cell>
          <cell r="AG514">
            <v>111030</v>
          </cell>
          <cell r="AH514">
            <v>111060</v>
          </cell>
        </row>
        <row r="515">
          <cell r="S515">
            <v>107960</v>
          </cell>
          <cell r="T515">
            <v>107960</v>
          </cell>
          <cell r="U515">
            <v>107960</v>
          </cell>
          <cell r="V515">
            <v>107960</v>
          </cell>
          <cell r="W515">
            <v>116590</v>
          </cell>
          <cell r="X515">
            <v>116590</v>
          </cell>
          <cell r="Y515">
            <v>116540</v>
          </cell>
          <cell r="Z515">
            <v>116560</v>
          </cell>
          <cell r="AA515">
            <v>111480</v>
          </cell>
          <cell r="AB515">
            <v>111570</v>
          </cell>
          <cell r="AC515">
            <v>111470</v>
          </cell>
          <cell r="AD515">
            <v>111510</v>
          </cell>
          <cell r="AE515">
            <v>111050</v>
          </cell>
          <cell r="AF515">
            <v>111180</v>
          </cell>
          <cell r="AG515">
            <v>111050</v>
          </cell>
          <cell r="AH515">
            <v>111180</v>
          </cell>
        </row>
        <row r="516">
          <cell r="S516">
            <v>107910</v>
          </cell>
          <cell r="T516">
            <v>107910</v>
          </cell>
          <cell r="U516">
            <v>107910</v>
          </cell>
          <cell r="V516">
            <v>107910</v>
          </cell>
          <cell r="W516">
            <v>116570</v>
          </cell>
          <cell r="X516">
            <v>116600</v>
          </cell>
          <cell r="Y516">
            <v>116550</v>
          </cell>
          <cell r="Z516">
            <v>116580</v>
          </cell>
          <cell r="AA516">
            <v>111520</v>
          </cell>
          <cell r="AB516">
            <v>111570</v>
          </cell>
          <cell r="AC516">
            <v>111500</v>
          </cell>
          <cell r="AD516">
            <v>111510</v>
          </cell>
          <cell r="AE516">
            <v>111160</v>
          </cell>
          <cell r="AF516">
            <v>111170</v>
          </cell>
          <cell r="AG516">
            <v>111110</v>
          </cell>
          <cell r="AH516">
            <v>111120</v>
          </cell>
        </row>
        <row r="517">
          <cell r="S517">
            <v>107970</v>
          </cell>
          <cell r="T517">
            <v>107970</v>
          </cell>
          <cell r="U517">
            <v>107970</v>
          </cell>
          <cell r="V517">
            <v>107970</v>
          </cell>
          <cell r="W517">
            <v>116580</v>
          </cell>
          <cell r="X517">
            <v>116610</v>
          </cell>
          <cell r="Y517">
            <v>116580</v>
          </cell>
          <cell r="Z517">
            <v>116590</v>
          </cell>
          <cell r="AA517">
            <v>111520</v>
          </cell>
          <cell r="AB517">
            <v>111520</v>
          </cell>
          <cell r="AC517">
            <v>111430</v>
          </cell>
          <cell r="AD517">
            <v>111480</v>
          </cell>
          <cell r="AE517">
            <v>111130</v>
          </cell>
          <cell r="AF517">
            <v>111190</v>
          </cell>
          <cell r="AG517">
            <v>111120</v>
          </cell>
          <cell r="AH517">
            <v>111170</v>
          </cell>
        </row>
        <row r="518">
          <cell r="S518">
            <v>107950</v>
          </cell>
          <cell r="T518">
            <v>107950</v>
          </cell>
          <cell r="U518">
            <v>107950</v>
          </cell>
          <cell r="V518">
            <v>107950</v>
          </cell>
          <cell r="W518">
            <v>116600</v>
          </cell>
          <cell r="X518">
            <v>116610</v>
          </cell>
          <cell r="Y518">
            <v>116580</v>
          </cell>
          <cell r="Z518">
            <v>116600</v>
          </cell>
          <cell r="AA518">
            <v>111490</v>
          </cell>
          <cell r="AB518">
            <v>111520</v>
          </cell>
          <cell r="AC518">
            <v>111440</v>
          </cell>
          <cell r="AD518">
            <v>111470</v>
          </cell>
          <cell r="AE518">
            <v>111180</v>
          </cell>
          <cell r="AF518">
            <v>111200</v>
          </cell>
          <cell r="AG518">
            <v>111150</v>
          </cell>
          <cell r="AH518">
            <v>111170</v>
          </cell>
        </row>
        <row r="519">
          <cell r="S519">
            <v>107910</v>
          </cell>
          <cell r="T519">
            <v>108000</v>
          </cell>
          <cell r="U519">
            <v>107880</v>
          </cell>
          <cell r="V519">
            <v>107880</v>
          </cell>
          <cell r="W519">
            <v>116590</v>
          </cell>
          <cell r="X519">
            <v>116670</v>
          </cell>
          <cell r="Y519">
            <v>116590</v>
          </cell>
          <cell r="Z519">
            <v>116640</v>
          </cell>
          <cell r="AA519">
            <v>111460</v>
          </cell>
          <cell r="AB519">
            <v>111520</v>
          </cell>
          <cell r="AC519">
            <v>111440</v>
          </cell>
          <cell r="AD519">
            <v>111520</v>
          </cell>
          <cell r="AE519">
            <v>111160</v>
          </cell>
          <cell r="AF519">
            <v>111170</v>
          </cell>
          <cell r="AG519">
            <v>111120</v>
          </cell>
          <cell r="AH519">
            <v>111130</v>
          </cell>
        </row>
        <row r="520">
          <cell r="S520">
            <v>107920</v>
          </cell>
          <cell r="T520">
            <v>107920</v>
          </cell>
          <cell r="U520">
            <v>107920</v>
          </cell>
          <cell r="V520">
            <v>107920</v>
          </cell>
          <cell r="W520">
            <v>116660</v>
          </cell>
          <cell r="X520">
            <v>116670</v>
          </cell>
          <cell r="Y520">
            <v>116620</v>
          </cell>
          <cell r="Z520">
            <v>116650</v>
          </cell>
          <cell r="AA520">
            <v>111520</v>
          </cell>
          <cell r="AB520">
            <v>111560</v>
          </cell>
          <cell r="AC520">
            <v>111500</v>
          </cell>
          <cell r="AD520">
            <v>111550</v>
          </cell>
          <cell r="AE520">
            <v>111120</v>
          </cell>
          <cell r="AF520">
            <v>111140</v>
          </cell>
          <cell r="AG520">
            <v>111110</v>
          </cell>
          <cell r="AH520">
            <v>111110</v>
          </cell>
        </row>
        <row r="521">
          <cell r="S521">
            <v>107960</v>
          </cell>
          <cell r="T521">
            <v>107960</v>
          </cell>
          <cell r="U521">
            <v>107960</v>
          </cell>
          <cell r="V521">
            <v>107960</v>
          </cell>
          <cell r="W521">
            <v>116660</v>
          </cell>
          <cell r="X521">
            <v>116740</v>
          </cell>
          <cell r="Y521">
            <v>116630</v>
          </cell>
          <cell r="Z521">
            <v>116690</v>
          </cell>
          <cell r="AA521">
            <v>111560</v>
          </cell>
          <cell r="AB521">
            <v>111800</v>
          </cell>
          <cell r="AC521">
            <v>111530</v>
          </cell>
          <cell r="AD521">
            <v>111780</v>
          </cell>
          <cell r="AE521">
            <v>111110</v>
          </cell>
          <cell r="AF521">
            <v>111150</v>
          </cell>
          <cell r="AG521">
            <v>111100</v>
          </cell>
          <cell r="AH521">
            <v>111150</v>
          </cell>
        </row>
        <row r="522">
          <cell r="S522">
            <v>107950</v>
          </cell>
          <cell r="T522">
            <v>107950</v>
          </cell>
          <cell r="U522">
            <v>107950</v>
          </cell>
          <cell r="V522">
            <v>107950</v>
          </cell>
          <cell r="W522">
            <v>116770</v>
          </cell>
          <cell r="X522">
            <v>116830</v>
          </cell>
          <cell r="Y522">
            <v>116660</v>
          </cell>
          <cell r="Z522">
            <v>116770</v>
          </cell>
          <cell r="AA522">
            <v>111500</v>
          </cell>
          <cell r="AB522">
            <v>111500</v>
          </cell>
          <cell r="AC522">
            <v>111190</v>
          </cell>
          <cell r="AD522">
            <v>111350</v>
          </cell>
          <cell r="AE522">
            <v>111200</v>
          </cell>
          <cell r="AF522">
            <v>111500</v>
          </cell>
          <cell r="AG522">
            <v>111060</v>
          </cell>
          <cell r="AH522">
            <v>111080</v>
          </cell>
        </row>
        <row r="523">
          <cell r="S523">
            <v>108000</v>
          </cell>
          <cell r="T523">
            <v>108000</v>
          </cell>
          <cell r="U523">
            <v>108000</v>
          </cell>
          <cell r="V523">
            <v>108000</v>
          </cell>
          <cell r="W523">
            <v>116760</v>
          </cell>
          <cell r="X523">
            <v>116760</v>
          </cell>
          <cell r="Y523">
            <v>116690</v>
          </cell>
          <cell r="Z523">
            <v>116720</v>
          </cell>
          <cell r="AA523">
            <v>111350</v>
          </cell>
          <cell r="AB523">
            <v>111370</v>
          </cell>
          <cell r="AC523">
            <v>111300</v>
          </cell>
          <cell r="AD523">
            <v>111340</v>
          </cell>
          <cell r="AE523">
            <v>111070</v>
          </cell>
          <cell r="AF523">
            <v>111090</v>
          </cell>
          <cell r="AG523">
            <v>110940</v>
          </cell>
          <cell r="AH523">
            <v>110980</v>
          </cell>
        </row>
        <row r="524">
          <cell r="S524">
            <v>107980</v>
          </cell>
          <cell r="T524">
            <v>107980</v>
          </cell>
          <cell r="U524">
            <v>107960</v>
          </cell>
          <cell r="V524">
            <v>107960</v>
          </cell>
          <cell r="W524">
            <v>116720</v>
          </cell>
          <cell r="X524">
            <v>116720</v>
          </cell>
          <cell r="Y524">
            <v>116670</v>
          </cell>
          <cell r="Z524">
            <v>116690</v>
          </cell>
          <cell r="AA524">
            <v>111340</v>
          </cell>
          <cell r="AB524">
            <v>111350</v>
          </cell>
          <cell r="AC524">
            <v>111240</v>
          </cell>
          <cell r="AD524">
            <v>111250</v>
          </cell>
          <cell r="AE524">
            <v>110970</v>
          </cell>
          <cell r="AF524">
            <v>111070</v>
          </cell>
          <cell r="AG524">
            <v>110960</v>
          </cell>
          <cell r="AH524">
            <v>111010</v>
          </cell>
        </row>
        <row r="525">
          <cell r="S525">
            <v>107910</v>
          </cell>
          <cell r="T525">
            <v>107910</v>
          </cell>
          <cell r="U525">
            <v>107900</v>
          </cell>
          <cell r="V525">
            <v>107900</v>
          </cell>
          <cell r="W525">
            <v>116690</v>
          </cell>
          <cell r="X525">
            <v>116800</v>
          </cell>
          <cell r="Y525">
            <v>116690</v>
          </cell>
          <cell r="Z525">
            <v>116740</v>
          </cell>
          <cell r="AA525">
            <v>111240</v>
          </cell>
          <cell r="AB525">
            <v>111310</v>
          </cell>
          <cell r="AC525">
            <v>111220</v>
          </cell>
          <cell r="AD525">
            <v>111290</v>
          </cell>
          <cell r="AE525">
            <v>111000</v>
          </cell>
          <cell r="AF525">
            <v>111020</v>
          </cell>
          <cell r="AG525">
            <v>110840</v>
          </cell>
          <cell r="AH525">
            <v>110840</v>
          </cell>
        </row>
        <row r="526">
          <cell r="S526">
            <v>107910</v>
          </cell>
          <cell r="T526">
            <v>107910</v>
          </cell>
          <cell r="U526">
            <v>107910</v>
          </cell>
          <cell r="V526">
            <v>107910</v>
          </cell>
          <cell r="W526">
            <v>116740</v>
          </cell>
          <cell r="X526">
            <v>116830</v>
          </cell>
          <cell r="Y526">
            <v>116740</v>
          </cell>
          <cell r="Z526">
            <v>116770</v>
          </cell>
          <cell r="AA526">
            <v>111290</v>
          </cell>
          <cell r="AB526">
            <v>111310</v>
          </cell>
          <cell r="AC526">
            <v>111250</v>
          </cell>
          <cell r="AD526">
            <v>111280</v>
          </cell>
          <cell r="AE526">
            <v>110840</v>
          </cell>
          <cell r="AF526">
            <v>110890</v>
          </cell>
          <cell r="AG526">
            <v>110840</v>
          </cell>
          <cell r="AH526">
            <v>110880</v>
          </cell>
        </row>
        <row r="527">
          <cell r="S527">
            <v>107850</v>
          </cell>
          <cell r="T527">
            <v>107870</v>
          </cell>
          <cell r="U527">
            <v>107850</v>
          </cell>
          <cell r="V527">
            <v>107870</v>
          </cell>
          <cell r="W527">
            <v>116770</v>
          </cell>
          <cell r="X527">
            <v>116780</v>
          </cell>
          <cell r="Y527">
            <v>116740</v>
          </cell>
          <cell r="Z527">
            <v>116750</v>
          </cell>
          <cell r="AA527">
            <v>111270</v>
          </cell>
          <cell r="AB527">
            <v>111300</v>
          </cell>
          <cell r="AC527">
            <v>111230</v>
          </cell>
          <cell r="AD527">
            <v>111290</v>
          </cell>
          <cell r="AE527">
            <v>110870</v>
          </cell>
          <cell r="AF527">
            <v>110960</v>
          </cell>
          <cell r="AG527">
            <v>110690</v>
          </cell>
          <cell r="AH527">
            <v>110940</v>
          </cell>
        </row>
        <row r="528">
          <cell r="S528">
            <v>107830</v>
          </cell>
          <cell r="T528">
            <v>107830</v>
          </cell>
          <cell r="U528">
            <v>107830</v>
          </cell>
          <cell r="V528">
            <v>107830</v>
          </cell>
          <cell r="W528">
            <v>116740</v>
          </cell>
          <cell r="X528">
            <v>116740</v>
          </cell>
          <cell r="Y528">
            <v>116680</v>
          </cell>
          <cell r="Z528">
            <v>116710</v>
          </cell>
          <cell r="AA528">
            <v>111280</v>
          </cell>
          <cell r="AB528">
            <v>111360</v>
          </cell>
          <cell r="AC528">
            <v>111270</v>
          </cell>
          <cell r="AD528">
            <v>111290</v>
          </cell>
          <cell r="AE528">
            <v>110930</v>
          </cell>
          <cell r="AF528">
            <v>110940</v>
          </cell>
          <cell r="AG528">
            <v>110880</v>
          </cell>
          <cell r="AH528">
            <v>110890</v>
          </cell>
        </row>
        <row r="529">
          <cell r="S529">
            <v>107820</v>
          </cell>
          <cell r="T529">
            <v>107820</v>
          </cell>
          <cell r="U529">
            <v>107820</v>
          </cell>
          <cell r="V529">
            <v>107820</v>
          </cell>
          <cell r="W529">
            <v>116700</v>
          </cell>
          <cell r="X529">
            <v>116800</v>
          </cell>
          <cell r="Y529">
            <v>116700</v>
          </cell>
          <cell r="Z529">
            <v>116790</v>
          </cell>
          <cell r="AA529">
            <v>111290</v>
          </cell>
          <cell r="AB529">
            <v>111320</v>
          </cell>
          <cell r="AC529">
            <v>111210</v>
          </cell>
          <cell r="AD529">
            <v>111250</v>
          </cell>
          <cell r="AE529">
            <v>110890</v>
          </cell>
          <cell r="AF529">
            <v>110960</v>
          </cell>
          <cell r="AG529">
            <v>110870</v>
          </cell>
          <cell r="AH529">
            <v>110940</v>
          </cell>
        </row>
        <row r="530">
          <cell r="S530">
            <v>107870</v>
          </cell>
          <cell r="T530">
            <v>107870</v>
          </cell>
          <cell r="U530">
            <v>107870</v>
          </cell>
          <cell r="V530">
            <v>107870</v>
          </cell>
          <cell r="W530">
            <v>116790</v>
          </cell>
          <cell r="X530">
            <v>116940</v>
          </cell>
          <cell r="Y530">
            <v>116780</v>
          </cell>
          <cell r="Z530">
            <v>116870</v>
          </cell>
          <cell r="AA530">
            <v>111250</v>
          </cell>
          <cell r="AB530">
            <v>111320</v>
          </cell>
          <cell r="AC530">
            <v>111230</v>
          </cell>
          <cell r="AD530">
            <v>111310</v>
          </cell>
          <cell r="AE530">
            <v>110950</v>
          </cell>
          <cell r="AF530">
            <v>110950</v>
          </cell>
          <cell r="AG530">
            <v>110910</v>
          </cell>
          <cell r="AH530">
            <v>110920</v>
          </cell>
        </row>
        <row r="531">
          <cell r="S531">
            <v>107880</v>
          </cell>
          <cell r="T531">
            <v>107880</v>
          </cell>
          <cell r="U531">
            <v>107880</v>
          </cell>
          <cell r="V531">
            <v>107880</v>
          </cell>
          <cell r="W531">
            <v>116870</v>
          </cell>
          <cell r="X531">
            <v>116940</v>
          </cell>
          <cell r="Y531">
            <v>116860</v>
          </cell>
          <cell r="Z531">
            <v>116890</v>
          </cell>
          <cell r="AA531">
            <v>111290</v>
          </cell>
          <cell r="AB531">
            <v>111290</v>
          </cell>
          <cell r="AC531">
            <v>111230</v>
          </cell>
          <cell r="AD531">
            <v>111250</v>
          </cell>
          <cell r="AE531">
            <v>110930</v>
          </cell>
          <cell r="AF531">
            <v>110980</v>
          </cell>
          <cell r="AG531">
            <v>110920</v>
          </cell>
          <cell r="AH531">
            <v>110960</v>
          </cell>
        </row>
        <row r="532">
          <cell r="S532">
            <v>107930</v>
          </cell>
          <cell r="T532">
            <v>107930</v>
          </cell>
          <cell r="U532">
            <v>107930</v>
          </cell>
          <cell r="V532">
            <v>107930</v>
          </cell>
          <cell r="W532">
            <v>116890</v>
          </cell>
          <cell r="X532">
            <v>116950</v>
          </cell>
          <cell r="Y532">
            <v>116860</v>
          </cell>
          <cell r="Z532">
            <v>116900</v>
          </cell>
          <cell r="AA532">
            <v>111240</v>
          </cell>
          <cell r="AB532">
            <v>111270</v>
          </cell>
          <cell r="AC532">
            <v>111090</v>
          </cell>
          <cell r="AD532">
            <v>111130</v>
          </cell>
          <cell r="AE532">
            <v>110970</v>
          </cell>
          <cell r="AF532">
            <v>111030</v>
          </cell>
          <cell r="AG532">
            <v>110950</v>
          </cell>
          <cell r="AH532">
            <v>111000</v>
          </cell>
        </row>
        <row r="533">
          <cell r="S533">
            <v>107930</v>
          </cell>
          <cell r="T533">
            <v>108020</v>
          </cell>
          <cell r="U533">
            <v>107930</v>
          </cell>
          <cell r="V533">
            <v>107990</v>
          </cell>
          <cell r="W533">
            <v>116900</v>
          </cell>
          <cell r="X533">
            <v>116990</v>
          </cell>
          <cell r="Y533">
            <v>116890</v>
          </cell>
          <cell r="Z533">
            <v>116970</v>
          </cell>
          <cell r="AA533">
            <v>111130</v>
          </cell>
          <cell r="AB533">
            <v>111230</v>
          </cell>
          <cell r="AC533">
            <v>111120</v>
          </cell>
          <cell r="AD533">
            <v>111160</v>
          </cell>
          <cell r="AE533">
            <v>110990</v>
          </cell>
          <cell r="AF533">
            <v>111040</v>
          </cell>
          <cell r="AG533">
            <v>110990</v>
          </cell>
          <cell r="AH533">
            <v>111010</v>
          </cell>
        </row>
        <row r="534">
          <cell r="S534">
            <v>108000</v>
          </cell>
          <cell r="T534">
            <v>108000</v>
          </cell>
          <cell r="U534">
            <v>108000</v>
          </cell>
          <cell r="V534">
            <v>108000</v>
          </cell>
          <cell r="W534">
            <v>116970</v>
          </cell>
          <cell r="X534">
            <v>116990</v>
          </cell>
          <cell r="Y534">
            <v>116870</v>
          </cell>
          <cell r="Z534">
            <v>116870</v>
          </cell>
          <cell r="AA534">
            <v>111170</v>
          </cell>
          <cell r="AB534">
            <v>111200</v>
          </cell>
          <cell r="AC534">
            <v>111120</v>
          </cell>
          <cell r="AD534">
            <v>111160</v>
          </cell>
          <cell r="AE534">
            <v>111000</v>
          </cell>
          <cell r="AF534">
            <v>111040</v>
          </cell>
          <cell r="AG534">
            <v>110980</v>
          </cell>
          <cell r="AH534">
            <v>111010</v>
          </cell>
        </row>
        <row r="535">
          <cell r="S535">
            <v>108000</v>
          </cell>
          <cell r="T535">
            <v>108050</v>
          </cell>
          <cell r="U535">
            <v>108000</v>
          </cell>
          <cell r="V535">
            <v>108050</v>
          </cell>
          <cell r="W535">
            <v>116870</v>
          </cell>
          <cell r="X535">
            <v>116880</v>
          </cell>
          <cell r="Y535">
            <v>116780</v>
          </cell>
          <cell r="Z535">
            <v>116830</v>
          </cell>
          <cell r="AA535">
            <v>111160</v>
          </cell>
          <cell r="AB535">
            <v>111280</v>
          </cell>
          <cell r="AC535">
            <v>111150</v>
          </cell>
          <cell r="AD535">
            <v>111260</v>
          </cell>
          <cell r="AE535">
            <v>111010</v>
          </cell>
          <cell r="AF535">
            <v>111010</v>
          </cell>
          <cell r="AG535">
            <v>110970</v>
          </cell>
          <cell r="AH535">
            <v>110970</v>
          </cell>
        </row>
        <row r="536">
          <cell r="S536">
            <v>108050</v>
          </cell>
          <cell r="T536">
            <v>108050</v>
          </cell>
          <cell r="U536">
            <v>108050</v>
          </cell>
          <cell r="V536">
            <v>108050</v>
          </cell>
          <cell r="W536">
            <v>116840</v>
          </cell>
          <cell r="X536">
            <v>116840</v>
          </cell>
          <cell r="Y536">
            <v>116770</v>
          </cell>
          <cell r="Z536">
            <v>116800</v>
          </cell>
          <cell r="AA536">
            <v>111260</v>
          </cell>
          <cell r="AB536">
            <v>111270</v>
          </cell>
          <cell r="AC536">
            <v>111230</v>
          </cell>
          <cell r="AD536">
            <v>111240</v>
          </cell>
          <cell r="AE536">
            <v>110980</v>
          </cell>
          <cell r="AF536">
            <v>110990</v>
          </cell>
          <cell r="AG536">
            <v>110960</v>
          </cell>
          <cell r="AH536">
            <v>110970</v>
          </cell>
        </row>
        <row r="537">
          <cell r="S537">
            <v>108050</v>
          </cell>
          <cell r="T537">
            <v>108050</v>
          </cell>
          <cell r="U537">
            <v>108050</v>
          </cell>
          <cell r="V537">
            <v>108050</v>
          </cell>
          <cell r="W537">
            <v>116800</v>
          </cell>
          <cell r="X537">
            <v>116810</v>
          </cell>
          <cell r="Y537">
            <v>116780</v>
          </cell>
          <cell r="Z537">
            <v>116800</v>
          </cell>
          <cell r="AA537">
            <v>111240</v>
          </cell>
          <cell r="AB537">
            <v>111280</v>
          </cell>
          <cell r="AC537">
            <v>111210</v>
          </cell>
          <cell r="AD537">
            <v>111270</v>
          </cell>
          <cell r="AE537">
            <v>110980</v>
          </cell>
          <cell r="AF537">
            <v>111030</v>
          </cell>
          <cell r="AG537">
            <v>110970</v>
          </cell>
          <cell r="AH537">
            <v>110990</v>
          </cell>
        </row>
        <row r="538">
          <cell r="S538">
            <v>108050</v>
          </cell>
          <cell r="T538">
            <v>108080</v>
          </cell>
          <cell r="U538">
            <v>108050</v>
          </cell>
          <cell r="V538">
            <v>108070</v>
          </cell>
          <cell r="W538">
            <v>116800</v>
          </cell>
          <cell r="X538">
            <v>116800</v>
          </cell>
          <cell r="Y538">
            <v>116750</v>
          </cell>
          <cell r="Z538">
            <v>116760</v>
          </cell>
          <cell r="AA538">
            <v>111280</v>
          </cell>
          <cell r="AB538">
            <v>111340</v>
          </cell>
          <cell r="AC538">
            <v>111270</v>
          </cell>
          <cell r="AD538">
            <v>111320</v>
          </cell>
          <cell r="AE538">
            <v>110990</v>
          </cell>
          <cell r="AF538">
            <v>110990</v>
          </cell>
          <cell r="AG538">
            <v>110950</v>
          </cell>
          <cell r="AH538">
            <v>110960</v>
          </cell>
        </row>
        <row r="539">
          <cell r="S539">
            <v>108080</v>
          </cell>
          <cell r="T539">
            <v>108100</v>
          </cell>
          <cell r="U539">
            <v>108070</v>
          </cell>
          <cell r="V539">
            <v>108070</v>
          </cell>
          <cell r="W539">
            <v>116760</v>
          </cell>
          <cell r="X539">
            <v>116780</v>
          </cell>
          <cell r="Y539">
            <v>116690</v>
          </cell>
          <cell r="Z539">
            <v>116690</v>
          </cell>
          <cell r="AA539">
            <v>111320</v>
          </cell>
          <cell r="AB539">
            <v>111340</v>
          </cell>
          <cell r="AC539">
            <v>111270</v>
          </cell>
          <cell r="AD539">
            <v>111290</v>
          </cell>
          <cell r="AE539">
            <v>110970</v>
          </cell>
          <cell r="AF539">
            <v>110990</v>
          </cell>
          <cell r="AG539">
            <v>110950</v>
          </cell>
          <cell r="AH539">
            <v>110980</v>
          </cell>
        </row>
        <row r="540">
          <cell r="S540">
            <v>108070</v>
          </cell>
          <cell r="T540">
            <v>108070</v>
          </cell>
          <cell r="U540">
            <v>108070</v>
          </cell>
          <cell r="V540">
            <v>108070</v>
          </cell>
          <cell r="W540">
            <v>116690</v>
          </cell>
          <cell r="X540">
            <v>116710</v>
          </cell>
          <cell r="Y540">
            <v>116620</v>
          </cell>
          <cell r="Z540">
            <v>116690</v>
          </cell>
          <cell r="AA540">
            <v>111270</v>
          </cell>
          <cell r="AB540">
            <v>111320</v>
          </cell>
          <cell r="AC540">
            <v>111240</v>
          </cell>
          <cell r="AD540">
            <v>111260</v>
          </cell>
          <cell r="AE540">
            <v>110990</v>
          </cell>
          <cell r="AF540">
            <v>111000</v>
          </cell>
          <cell r="AG540">
            <v>110930</v>
          </cell>
          <cell r="AH540">
            <v>110960</v>
          </cell>
        </row>
        <row r="541">
          <cell r="S541">
            <v>108070</v>
          </cell>
          <cell r="T541">
            <v>108100</v>
          </cell>
          <cell r="U541">
            <v>108070</v>
          </cell>
          <cell r="V541">
            <v>108100</v>
          </cell>
          <cell r="W541">
            <v>116680</v>
          </cell>
          <cell r="X541">
            <v>116700</v>
          </cell>
          <cell r="Y541">
            <v>116590</v>
          </cell>
          <cell r="Z541">
            <v>116600</v>
          </cell>
          <cell r="AA541">
            <v>111270</v>
          </cell>
          <cell r="AB541">
            <v>111280</v>
          </cell>
          <cell r="AC541">
            <v>111240</v>
          </cell>
          <cell r="AD541">
            <v>111260</v>
          </cell>
          <cell r="AE541">
            <v>110940</v>
          </cell>
          <cell r="AF541">
            <v>110980</v>
          </cell>
          <cell r="AG541">
            <v>110860</v>
          </cell>
          <cell r="AH541">
            <v>110880</v>
          </cell>
        </row>
        <row r="542">
          <cell r="S542">
            <v>108090</v>
          </cell>
          <cell r="T542">
            <v>108110</v>
          </cell>
          <cell r="U542">
            <v>108080</v>
          </cell>
          <cell r="V542">
            <v>108080</v>
          </cell>
          <cell r="W542">
            <v>116590</v>
          </cell>
          <cell r="X542">
            <v>116650</v>
          </cell>
          <cell r="Y542">
            <v>116570</v>
          </cell>
          <cell r="Z542">
            <v>116620</v>
          </cell>
          <cell r="AA542">
            <v>111270</v>
          </cell>
          <cell r="AB542">
            <v>111310</v>
          </cell>
          <cell r="AC542">
            <v>111140</v>
          </cell>
          <cell r="AD542">
            <v>111160</v>
          </cell>
          <cell r="AE542">
            <v>110870</v>
          </cell>
          <cell r="AF542">
            <v>110880</v>
          </cell>
          <cell r="AG542">
            <v>110750</v>
          </cell>
          <cell r="AH542">
            <v>110760</v>
          </cell>
        </row>
        <row r="543">
          <cell r="S543">
            <v>108070</v>
          </cell>
          <cell r="T543">
            <v>108130</v>
          </cell>
          <cell r="U543">
            <v>108070</v>
          </cell>
          <cell r="V543">
            <v>108130</v>
          </cell>
          <cell r="W543">
            <v>116630</v>
          </cell>
          <cell r="X543">
            <v>116640</v>
          </cell>
          <cell r="Y543">
            <v>116560</v>
          </cell>
          <cell r="Z543">
            <v>116560</v>
          </cell>
          <cell r="AA543">
            <v>111170</v>
          </cell>
          <cell r="AB543">
            <v>111200</v>
          </cell>
          <cell r="AC543">
            <v>111100</v>
          </cell>
          <cell r="AD543">
            <v>111150</v>
          </cell>
          <cell r="AE543">
            <v>110760</v>
          </cell>
          <cell r="AF543">
            <v>110840</v>
          </cell>
          <cell r="AG543">
            <v>110750</v>
          </cell>
          <cell r="AH543">
            <v>110840</v>
          </cell>
        </row>
        <row r="544">
          <cell r="S544">
            <v>108120</v>
          </cell>
          <cell r="T544">
            <v>108120</v>
          </cell>
          <cell r="U544">
            <v>108120</v>
          </cell>
          <cell r="V544">
            <v>108120</v>
          </cell>
          <cell r="W544">
            <v>116560</v>
          </cell>
          <cell r="X544">
            <v>116600</v>
          </cell>
          <cell r="Y544">
            <v>116550</v>
          </cell>
          <cell r="Z544">
            <v>116590</v>
          </cell>
          <cell r="AA544">
            <v>111160</v>
          </cell>
          <cell r="AB544">
            <v>111210</v>
          </cell>
          <cell r="AC544">
            <v>111110</v>
          </cell>
          <cell r="AD544">
            <v>111190</v>
          </cell>
          <cell r="AE544">
            <v>110820</v>
          </cell>
          <cell r="AF544">
            <v>110890</v>
          </cell>
          <cell r="AG544">
            <v>110800</v>
          </cell>
          <cell r="AH544">
            <v>110870</v>
          </cell>
        </row>
        <row r="545">
          <cell r="S545">
            <v>108120</v>
          </cell>
          <cell r="T545">
            <v>108120</v>
          </cell>
          <cell r="U545">
            <v>108120</v>
          </cell>
          <cell r="V545">
            <v>108120</v>
          </cell>
          <cell r="W545">
            <v>116580</v>
          </cell>
          <cell r="X545">
            <v>116590</v>
          </cell>
          <cell r="Y545">
            <v>116560</v>
          </cell>
          <cell r="Z545">
            <v>116580</v>
          </cell>
          <cell r="AA545">
            <v>111190</v>
          </cell>
          <cell r="AB545">
            <v>111210</v>
          </cell>
          <cell r="AC545">
            <v>111110</v>
          </cell>
          <cell r="AD545">
            <v>111150</v>
          </cell>
          <cell r="AE545">
            <v>110880</v>
          </cell>
          <cell r="AF545">
            <v>110910</v>
          </cell>
          <cell r="AG545">
            <v>110840</v>
          </cell>
          <cell r="AH545">
            <v>110900</v>
          </cell>
        </row>
        <row r="546">
          <cell r="S546">
            <v>108140</v>
          </cell>
          <cell r="T546">
            <v>108150</v>
          </cell>
          <cell r="U546">
            <v>108140</v>
          </cell>
          <cell r="V546">
            <v>108150</v>
          </cell>
          <cell r="W546">
            <v>116580</v>
          </cell>
          <cell r="X546">
            <v>116620</v>
          </cell>
          <cell r="Y546">
            <v>116560</v>
          </cell>
          <cell r="Z546">
            <v>116610</v>
          </cell>
          <cell r="AA546">
            <v>111160</v>
          </cell>
          <cell r="AB546">
            <v>111180</v>
          </cell>
          <cell r="AC546">
            <v>111030</v>
          </cell>
          <cell r="AD546">
            <v>111090</v>
          </cell>
          <cell r="AE546">
            <v>110900</v>
          </cell>
          <cell r="AF546">
            <v>110910</v>
          </cell>
          <cell r="AG546">
            <v>110840</v>
          </cell>
          <cell r="AH546">
            <v>110850</v>
          </cell>
        </row>
        <row r="547">
          <cell r="S547">
            <v>108120</v>
          </cell>
          <cell r="T547">
            <v>108140</v>
          </cell>
          <cell r="U547">
            <v>108110</v>
          </cell>
          <cell r="V547">
            <v>108140</v>
          </cell>
          <cell r="W547">
            <v>116600</v>
          </cell>
          <cell r="X547">
            <v>116650</v>
          </cell>
          <cell r="Y547">
            <v>116510</v>
          </cell>
          <cell r="Z547">
            <v>116520</v>
          </cell>
          <cell r="AA547">
            <v>111100</v>
          </cell>
          <cell r="AB547">
            <v>111150</v>
          </cell>
          <cell r="AC547">
            <v>111050</v>
          </cell>
          <cell r="AD547">
            <v>111100</v>
          </cell>
          <cell r="AE547">
            <v>110840</v>
          </cell>
          <cell r="AF547">
            <v>110910</v>
          </cell>
          <cell r="AG547">
            <v>110810</v>
          </cell>
          <cell r="AH547">
            <v>110830</v>
          </cell>
        </row>
        <row r="548">
          <cell r="S548">
            <v>108120</v>
          </cell>
          <cell r="T548">
            <v>108140</v>
          </cell>
          <cell r="U548">
            <v>108120</v>
          </cell>
          <cell r="V548">
            <v>108140</v>
          </cell>
          <cell r="W548">
            <v>116520</v>
          </cell>
          <cell r="X548">
            <v>116540</v>
          </cell>
          <cell r="Y548">
            <v>116470</v>
          </cell>
          <cell r="Z548">
            <v>116490</v>
          </cell>
          <cell r="AA548">
            <v>111090</v>
          </cell>
          <cell r="AB548">
            <v>111110</v>
          </cell>
          <cell r="AC548">
            <v>111060</v>
          </cell>
          <cell r="AD548">
            <v>111060</v>
          </cell>
          <cell r="AE548">
            <v>110810</v>
          </cell>
          <cell r="AF548">
            <v>110920</v>
          </cell>
          <cell r="AG548">
            <v>110810</v>
          </cell>
          <cell r="AH548">
            <v>110830</v>
          </cell>
        </row>
        <row r="549">
          <cell r="S549">
            <v>108140</v>
          </cell>
          <cell r="T549">
            <v>108140</v>
          </cell>
          <cell r="U549">
            <v>108120</v>
          </cell>
          <cell r="V549">
            <v>108130</v>
          </cell>
          <cell r="W549">
            <v>116480</v>
          </cell>
          <cell r="X549">
            <v>116510</v>
          </cell>
          <cell r="Y549">
            <v>116450</v>
          </cell>
          <cell r="Z549">
            <v>116500</v>
          </cell>
          <cell r="AA549">
            <v>111070</v>
          </cell>
          <cell r="AB549">
            <v>111130</v>
          </cell>
          <cell r="AC549">
            <v>111070</v>
          </cell>
          <cell r="AD549">
            <v>111110</v>
          </cell>
          <cell r="AE549">
            <v>110830</v>
          </cell>
          <cell r="AF549">
            <v>110900</v>
          </cell>
          <cell r="AG549">
            <v>110830</v>
          </cell>
          <cell r="AH549">
            <v>110870</v>
          </cell>
        </row>
        <row r="550">
          <cell r="S550">
            <v>108140</v>
          </cell>
          <cell r="T550">
            <v>108140</v>
          </cell>
          <cell r="U550">
            <v>108140</v>
          </cell>
          <cell r="V550">
            <v>108140</v>
          </cell>
          <cell r="W550">
            <v>116510</v>
          </cell>
          <cell r="X550">
            <v>116560</v>
          </cell>
          <cell r="Y550">
            <v>116500</v>
          </cell>
          <cell r="Z550">
            <v>116520</v>
          </cell>
          <cell r="AA550">
            <v>111120</v>
          </cell>
          <cell r="AB550">
            <v>111140</v>
          </cell>
          <cell r="AC550">
            <v>111050</v>
          </cell>
          <cell r="AD550">
            <v>111110</v>
          </cell>
          <cell r="AE550">
            <v>110880</v>
          </cell>
          <cell r="AF550">
            <v>110900</v>
          </cell>
          <cell r="AG550">
            <v>110870</v>
          </cell>
          <cell r="AH550">
            <v>110880</v>
          </cell>
        </row>
        <row r="551">
          <cell r="S551">
            <v>108140</v>
          </cell>
          <cell r="T551">
            <v>108140</v>
          </cell>
          <cell r="U551">
            <v>108140</v>
          </cell>
          <cell r="V551">
            <v>108140</v>
          </cell>
          <cell r="W551">
            <v>116510</v>
          </cell>
          <cell r="X551">
            <v>116550</v>
          </cell>
          <cell r="Y551">
            <v>116500</v>
          </cell>
          <cell r="Z551">
            <v>116550</v>
          </cell>
          <cell r="AA551">
            <v>111100</v>
          </cell>
          <cell r="AB551">
            <v>111170</v>
          </cell>
          <cell r="AC551">
            <v>111060</v>
          </cell>
          <cell r="AD551">
            <v>111140</v>
          </cell>
          <cell r="AE551">
            <v>110900</v>
          </cell>
          <cell r="AF551">
            <v>110920</v>
          </cell>
          <cell r="AG551">
            <v>110810</v>
          </cell>
          <cell r="AH551">
            <v>110820</v>
          </cell>
        </row>
        <row r="552">
          <cell r="S552">
            <v>108140</v>
          </cell>
          <cell r="T552">
            <v>108140</v>
          </cell>
          <cell r="U552">
            <v>108140</v>
          </cell>
          <cell r="V552">
            <v>108140</v>
          </cell>
          <cell r="W552">
            <v>116550</v>
          </cell>
          <cell r="X552">
            <v>116610</v>
          </cell>
          <cell r="Y552">
            <v>116520</v>
          </cell>
          <cell r="Z552">
            <v>116550</v>
          </cell>
          <cell r="AA552">
            <v>111130</v>
          </cell>
          <cell r="AB552">
            <v>111140</v>
          </cell>
          <cell r="AC552">
            <v>111090</v>
          </cell>
          <cell r="AD552">
            <v>111120</v>
          </cell>
          <cell r="AE552">
            <v>110820</v>
          </cell>
          <cell r="AF552">
            <v>110850</v>
          </cell>
          <cell r="AG552">
            <v>110820</v>
          </cell>
          <cell r="AH552">
            <v>110850</v>
          </cell>
        </row>
        <row r="553">
          <cell r="S553">
            <v>108130</v>
          </cell>
          <cell r="T553">
            <v>108130</v>
          </cell>
          <cell r="U553">
            <v>108130</v>
          </cell>
          <cell r="V553">
            <v>108130</v>
          </cell>
          <cell r="W553">
            <v>116540</v>
          </cell>
          <cell r="X553">
            <v>116590</v>
          </cell>
          <cell r="Y553">
            <v>116530</v>
          </cell>
          <cell r="Z553">
            <v>116570</v>
          </cell>
          <cell r="AA553">
            <v>111130</v>
          </cell>
          <cell r="AB553">
            <v>111170</v>
          </cell>
          <cell r="AC553">
            <v>111110</v>
          </cell>
          <cell r="AD553">
            <v>111120</v>
          </cell>
          <cell r="AE553">
            <v>110850</v>
          </cell>
          <cell r="AF553">
            <v>110850</v>
          </cell>
          <cell r="AG553">
            <v>110810</v>
          </cell>
          <cell r="AH553">
            <v>110830</v>
          </cell>
        </row>
        <row r="554">
          <cell r="S554">
            <v>108070</v>
          </cell>
          <cell r="T554">
            <v>108080</v>
          </cell>
          <cell r="U554">
            <v>108070</v>
          </cell>
          <cell r="V554">
            <v>108080</v>
          </cell>
          <cell r="W554">
            <v>116570</v>
          </cell>
          <cell r="X554">
            <v>116640</v>
          </cell>
          <cell r="Y554">
            <v>116570</v>
          </cell>
          <cell r="Z554">
            <v>116610</v>
          </cell>
          <cell r="AA554">
            <v>111130</v>
          </cell>
          <cell r="AB554">
            <v>111140</v>
          </cell>
          <cell r="AC554">
            <v>111060</v>
          </cell>
          <cell r="AD554">
            <v>111100</v>
          </cell>
          <cell r="AE554">
            <v>110820</v>
          </cell>
          <cell r="AF554">
            <v>110830</v>
          </cell>
          <cell r="AG554">
            <v>110760</v>
          </cell>
          <cell r="AH554">
            <v>110760</v>
          </cell>
        </row>
        <row r="555">
          <cell r="S555">
            <v>108160</v>
          </cell>
          <cell r="T555">
            <v>108200</v>
          </cell>
          <cell r="U555">
            <v>108160</v>
          </cell>
          <cell r="V555">
            <v>108200</v>
          </cell>
          <cell r="W555">
            <v>116610</v>
          </cell>
          <cell r="X555">
            <v>116610</v>
          </cell>
          <cell r="Y555">
            <v>116560</v>
          </cell>
          <cell r="Z555">
            <v>116560</v>
          </cell>
          <cell r="AA555">
            <v>111110</v>
          </cell>
          <cell r="AB555">
            <v>111150</v>
          </cell>
          <cell r="AC555">
            <v>111080</v>
          </cell>
          <cell r="AD555">
            <v>111100</v>
          </cell>
          <cell r="AE555">
            <v>110780</v>
          </cell>
          <cell r="AF555">
            <v>110820</v>
          </cell>
          <cell r="AG555">
            <v>110780</v>
          </cell>
          <cell r="AH555">
            <v>110810</v>
          </cell>
        </row>
        <row r="556">
          <cell r="S556">
            <v>108170</v>
          </cell>
          <cell r="T556">
            <v>108170</v>
          </cell>
          <cell r="U556">
            <v>108170</v>
          </cell>
          <cell r="V556">
            <v>108170</v>
          </cell>
          <cell r="W556">
            <v>116570</v>
          </cell>
          <cell r="X556">
            <v>116580</v>
          </cell>
          <cell r="Y556">
            <v>116550</v>
          </cell>
          <cell r="Z556">
            <v>116570</v>
          </cell>
          <cell r="AA556">
            <v>111100</v>
          </cell>
          <cell r="AB556">
            <v>111110</v>
          </cell>
          <cell r="AC556">
            <v>111050</v>
          </cell>
          <cell r="AD556">
            <v>111050</v>
          </cell>
          <cell r="AE556">
            <v>110810</v>
          </cell>
          <cell r="AF556">
            <v>110840</v>
          </cell>
          <cell r="AG556">
            <v>110790</v>
          </cell>
          <cell r="AH556">
            <v>110830</v>
          </cell>
        </row>
        <row r="557">
          <cell r="S557">
            <v>108170</v>
          </cell>
          <cell r="T557">
            <v>108170</v>
          </cell>
          <cell r="U557">
            <v>108170</v>
          </cell>
          <cell r="V557">
            <v>108170</v>
          </cell>
          <cell r="W557">
            <v>116570</v>
          </cell>
          <cell r="X557">
            <v>116600</v>
          </cell>
          <cell r="Y557">
            <v>116550</v>
          </cell>
          <cell r="Z557">
            <v>116550</v>
          </cell>
          <cell r="AA557">
            <v>111060</v>
          </cell>
          <cell r="AB557">
            <v>111120</v>
          </cell>
          <cell r="AC557">
            <v>111050</v>
          </cell>
          <cell r="AD557">
            <v>111120</v>
          </cell>
          <cell r="AE557">
            <v>110820</v>
          </cell>
          <cell r="AF557">
            <v>110840</v>
          </cell>
          <cell r="AG557">
            <v>110800</v>
          </cell>
          <cell r="AH557">
            <v>110840</v>
          </cell>
        </row>
        <row r="558">
          <cell r="S558">
            <v>108140</v>
          </cell>
          <cell r="T558">
            <v>108170</v>
          </cell>
          <cell r="U558">
            <v>108140</v>
          </cell>
          <cell r="V558">
            <v>108170</v>
          </cell>
          <cell r="W558">
            <v>116570</v>
          </cell>
          <cell r="X558">
            <v>116610</v>
          </cell>
          <cell r="Y558">
            <v>116570</v>
          </cell>
          <cell r="Z558">
            <v>116610</v>
          </cell>
          <cell r="AA558">
            <v>111120</v>
          </cell>
          <cell r="AB558">
            <v>111130</v>
          </cell>
          <cell r="AC558">
            <v>111060</v>
          </cell>
          <cell r="AD558">
            <v>111080</v>
          </cell>
          <cell r="AE558">
            <v>110830</v>
          </cell>
          <cell r="AF558">
            <v>110850</v>
          </cell>
          <cell r="AG558">
            <v>110820</v>
          </cell>
          <cell r="AH558">
            <v>110840</v>
          </cell>
        </row>
        <row r="559">
          <cell r="S559">
            <v>108150</v>
          </cell>
          <cell r="T559">
            <v>108150</v>
          </cell>
          <cell r="U559">
            <v>108150</v>
          </cell>
          <cell r="V559">
            <v>108150</v>
          </cell>
          <cell r="W559">
            <v>116610</v>
          </cell>
          <cell r="X559">
            <v>116640</v>
          </cell>
          <cell r="Y559">
            <v>116570</v>
          </cell>
          <cell r="Z559">
            <v>116580</v>
          </cell>
          <cell r="AA559">
            <v>111080</v>
          </cell>
          <cell r="AB559">
            <v>111110</v>
          </cell>
          <cell r="AC559">
            <v>111060</v>
          </cell>
          <cell r="AD559">
            <v>111060</v>
          </cell>
          <cell r="AE559">
            <v>110830</v>
          </cell>
          <cell r="AF559">
            <v>110920</v>
          </cell>
          <cell r="AG559">
            <v>110830</v>
          </cell>
          <cell r="AH559">
            <v>110890</v>
          </cell>
        </row>
        <row r="560">
          <cell r="S560">
            <v>108140</v>
          </cell>
          <cell r="T560">
            <v>108140</v>
          </cell>
          <cell r="U560">
            <v>108130</v>
          </cell>
          <cell r="V560">
            <v>108140</v>
          </cell>
          <cell r="W560">
            <v>116600</v>
          </cell>
          <cell r="X560">
            <v>116600</v>
          </cell>
          <cell r="Y560">
            <v>116530</v>
          </cell>
          <cell r="Z560">
            <v>116550</v>
          </cell>
          <cell r="AA560">
            <v>111070</v>
          </cell>
          <cell r="AB560">
            <v>111090</v>
          </cell>
          <cell r="AC560">
            <v>111030</v>
          </cell>
          <cell r="AD560">
            <v>111080</v>
          </cell>
          <cell r="AE560">
            <v>110890</v>
          </cell>
          <cell r="AF560">
            <v>110910</v>
          </cell>
          <cell r="AG560">
            <v>110860</v>
          </cell>
          <cell r="AH560">
            <v>110890</v>
          </cell>
        </row>
        <row r="561">
          <cell r="S561">
            <v>108140</v>
          </cell>
          <cell r="T561">
            <v>108140</v>
          </cell>
          <cell r="U561">
            <v>108080</v>
          </cell>
          <cell r="V561">
            <v>108100</v>
          </cell>
          <cell r="W561">
            <v>116550</v>
          </cell>
          <cell r="X561">
            <v>116550</v>
          </cell>
          <cell r="Y561">
            <v>116520</v>
          </cell>
          <cell r="Z561">
            <v>116540</v>
          </cell>
          <cell r="AA561">
            <v>111080</v>
          </cell>
          <cell r="AB561">
            <v>111140</v>
          </cell>
          <cell r="AC561">
            <v>111080</v>
          </cell>
          <cell r="AD561">
            <v>111090</v>
          </cell>
          <cell r="AE561">
            <v>110880</v>
          </cell>
          <cell r="AF561">
            <v>110880</v>
          </cell>
          <cell r="AG561">
            <v>110840</v>
          </cell>
          <cell r="AH561">
            <v>110850</v>
          </cell>
        </row>
        <row r="562">
          <cell r="S562">
            <v>108090</v>
          </cell>
          <cell r="T562">
            <v>108120</v>
          </cell>
          <cell r="U562">
            <v>108090</v>
          </cell>
          <cell r="V562">
            <v>108100</v>
          </cell>
          <cell r="W562">
            <v>116530</v>
          </cell>
          <cell r="X562">
            <v>116560</v>
          </cell>
          <cell r="Y562">
            <v>116520</v>
          </cell>
          <cell r="Z562">
            <v>116550</v>
          </cell>
          <cell r="AA562">
            <v>111100</v>
          </cell>
          <cell r="AB562">
            <v>111110</v>
          </cell>
          <cell r="AC562">
            <v>110970</v>
          </cell>
          <cell r="AD562">
            <v>110970</v>
          </cell>
          <cell r="AE562">
            <v>110840</v>
          </cell>
          <cell r="AF562">
            <v>110850</v>
          </cell>
          <cell r="AG562">
            <v>110770</v>
          </cell>
          <cell r="AH562">
            <v>110800</v>
          </cell>
        </row>
        <row r="563">
          <cell r="S563">
            <v>108100</v>
          </cell>
          <cell r="T563">
            <v>108180</v>
          </cell>
          <cell r="U563">
            <v>108100</v>
          </cell>
          <cell r="V563">
            <v>108180</v>
          </cell>
          <cell r="W563">
            <v>116550</v>
          </cell>
          <cell r="X563">
            <v>116590</v>
          </cell>
          <cell r="Y563">
            <v>116540</v>
          </cell>
          <cell r="Z563">
            <v>116590</v>
          </cell>
          <cell r="AA563">
            <v>110970</v>
          </cell>
          <cell r="AB563">
            <v>110990</v>
          </cell>
          <cell r="AC563">
            <v>110930</v>
          </cell>
          <cell r="AD563">
            <v>110940</v>
          </cell>
          <cell r="AE563">
            <v>110800</v>
          </cell>
          <cell r="AF563">
            <v>110840</v>
          </cell>
          <cell r="AG563">
            <v>110800</v>
          </cell>
          <cell r="AH563">
            <v>110830</v>
          </cell>
        </row>
        <row r="564">
          <cell r="S564">
            <v>108130</v>
          </cell>
          <cell r="T564">
            <v>108130</v>
          </cell>
          <cell r="U564">
            <v>108130</v>
          </cell>
          <cell r="V564">
            <v>108130</v>
          </cell>
          <cell r="W564">
            <v>116570</v>
          </cell>
          <cell r="X564">
            <v>116580</v>
          </cell>
          <cell r="Y564">
            <v>116540</v>
          </cell>
          <cell r="Z564">
            <v>116560</v>
          </cell>
          <cell r="AA564">
            <v>110940</v>
          </cell>
          <cell r="AB564">
            <v>110960</v>
          </cell>
          <cell r="AC564">
            <v>110920</v>
          </cell>
          <cell r="AD564">
            <v>110960</v>
          </cell>
          <cell r="AE564">
            <v>110820</v>
          </cell>
          <cell r="AF564">
            <v>110870</v>
          </cell>
          <cell r="AG564">
            <v>110800</v>
          </cell>
          <cell r="AH564">
            <v>110830</v>
          </cell>
        </row>
        <row r="565">
          <cell r="S565">
            <v>108110</v>
          </cell>
          <cell r="T565">
            <v>108110</v>
          </cell>
          <cell r="U565">
            <v>108090</v>
          </cell>
          <cell r="V565">
            <v>108090</v>
          </cell>
          <cell r="W565">
            <v>116550</v>
          </cell>
          <cell r="X565">
            <v>116600</v>
          </cell>
          <cell r="Y565">
            <v>116550</v>
          </cell>
          <cell r="Z565">
            <v>116570</v>
          </cell>
          <cell r="AA565">
            <v>110960</v>
          </cell>
          <cell r="AB565">
            <v>111000</v>
          </cell>
          <cell r="AC565">
            <v>110950</v>
          </cell>
          <cell r="AD565">
            <v>110980</v>
          </cell>
          <cell r="AE565">
            <v>110830</v>
          </cell>
          <cell r="AF565">
            <v>110850</v>
          </cell>
          <cell r="AG565">
            <v>110820</v>
          </cell>
          <cell r="AH565">
            <v>110850</v>
          </cell>
        </row>
        <row r="566">
          <cell r="S566">
            <v>108100</v>
          </cell>
          <cell r="T566">
            <v>108100</v>
          </cell>
          <cell r="U566">
            <v>108100</v>
          </cell>
          <cell r="V566">
            <v>108100</v>
          </cell>
          <cell r="W566">
            <v>116580</v>
          </cell>
          <cell r="X566">
            <v>116630</v>
          </cell>
          <cell r="Y566">
            <v>116570</v>
          </cell>
          <cell r="Z566">
            <v>116600</v>
          </cell>
          <cell r="AA566">
            <v>110990</v>
          </cell>
          <cell r="AB566">
            <v>111030</v>
          </cell>
          <cell r="AC566">
            <v>110980</v>
          </cell>
          <cell r="AD566">
            <v>111000</v>
          </cell>
          <cell r="AE566">
            <v>110850</v>
          </cell>
          <cell r="AF566">
            <v>110850</v>
          </cell>
          <cell r="AG566">
            <v>110790</v>
          </cell>
          <cell r="AH566">
            <v>110790</v>
          </cell>
        </row>
        <row r="567">
          <cell r="S567">
            <v>108090</v>
          </cell>
          <cell r="T567">
            <v>108090</v>
          </cell>
          <cell r="U567">
            <v>108090</v>
          </cell>
          <cell r="V567">
            <v>108090</v>
          </cell>
          <cell r="W567">
            <v>116590</v>
          </cell>
          <cell r="X567">
            <v>116610</v>
          </cell>
          <cell r="Y567">
            <v>116570</v>
          </cell>
          <cell r="Z567">
            <v>116570</v>
          </cell>
          <cell r="AA567">
            <v>111000</v>
          </cell>
          <cell r="AB567">
            <v>111060</v>
          </cell>
          <cell r="AC567">
            <v>110970</v>
          </cell>
          <cell r="AD567">
            <v>111060</v>
          </cell>
          <cell r="AE567">
            <v>110790</v>
          </cell>
          <cell r="AF567">
            <v>110800</v>
          </cell>
          <cell r="AG567">
            <v>110770</v>
          </cell>
          <cell r="AH567">
            <v>110800</v>
          </cell>
        </row>
        <row r="568">
          <cell r="S568">
            <v>108110</v>
          </cell>
          <cell r="T568">
            <v>108110</v>
          </cell>
          <cell r="U568">
            <v>108110</v>
          </cell>
          <cell r="V568">
            <v>108110</v>
          </cell>
          <cell r="W568">
            <v>116580</v>
          </cell>
          <cell r="X568">
            <v>116590</v>
          </cell>
          <cell r="Y568">
            <v>116570</v>
          </cell>
          <cell r="Z568">
            <v>116580</v>
          </cell>
          <cell r="AA568">
            <v>111060</v>
          </cell>
          <cell r="AB568">
            <v>111090</v>
          </cell>
          <cell r="AC568">
            <v>111040</v>
          </cell>
          <cell r="AD568">
            <v>111060</v>
          </cell>
          <cell r="AE568">
            <v>110790</v>
          </cell>
          <cell r="AF568">
            <v>110810</v>
          </cell>
          <cell r="AG568">
            <v>110670</v>
          </cell>
          <cell r="AH568">
            <v>110700</v>
          </cell>
        </row>
        <row r="569">
          <cell r="S569">
            <v>108090</v>
          </cell>
          <cell r="T569">
            <v>108090</v>
          </cell>
          <cell r="U569">
            <v>108090</v>
          </cell>
          <cell r="V569">
            <v>108090</v>
          </cell>
          <cell r="W569">
            <v>116580</v>
          </cell>
          <cell r="X569">
            <v>116610</v>
          </cell>
          <cell r="Y569">
            <v>116560</v>
          </cell>
          <cell r="Z569">
            <v>116580</v>
          </cell>
          <cell r="AA569">
            <v>111050</v>
          </cell>
          <cell r="AB569">
            <v>111110</v>
          </cell>
          <cell r="AC569">
            <v>111050</v>
          </cell>
          <cell r="AD569">
            <v>111060</v>
          </cell>
          <cell r="AE569">
            <v>110690</v>
          </cell>
          <cell r="AF569">
            <v>110720</v>
          </cell>
          <cell r="AG569">
            <v>110520</v>
          </cell>
          <cell r="AH569">
            <v>110540</v>
          </cell>
        </row>
        <row r="570">
          <cell r="S570">
            <v>108090</v>
          </cell>
          <cell r="T570">
            <v>108090</v>
          </cell>
          <cell r="U570">
            <v>108090</v>
          </cell>
          <cell r="V570">
            <v>108090</v>
          </cell>
          <cell r="W570">
            <v>116570</v>
          </cell>
          <cell r="X570">
            <v>116580</v>
          </cell>
          <cell r="Y570">
            <v>116570</v>
          </cell>
          <cell r="Z570">
            <v>116580</v>
          </cell>
          <cell r="AA570">
            <v>111060</v>
          </cell>
          <cell r="AB570">
            <v>111250</v>
          </cell>
          <cell r="AC570">
            <v>111050</v>
          </cell>
          <cell r="AD570">
            <v>111240</v>
          </cell>
          <cell r="AE570">
            <v>110540</v>
          </cell>
          <cell r="AF570">
            <v>110620</v>
          </cell>
          <cell r="AG570">
            <v>110460</v>
          </cell>
          <cell r="AH570">
            <v>110610</v>
          </cell>
        </row>
        <row r="571">
          <cell r="S571">
            <v>108090</v>
          </cell>
          <cell r="T571">
            <v>108090</v>
          </cell>
          <cell r="U571">
            <v>108090</v>
          </cell>
          <cell r="V571">
            <v>108090</v>
          </cell>
          <cell r="W571">
            <v>116570</v>
          </cell>
          <cell r="X571">
            <v>116590</v>
          </cell>
          <cell r="Y571">
            <v>116560</v>
          </cell>
          <cell r="Z571">
            <v>116580</v>
          </cell>
          <cell r="AA571">
            <v>111250</v>
          </cell>
          <cell r="AB571">
            <v>111370</v>
          </cell>
          <cell r="AC571">
            <v>111230</v>
          </cell>
          <cell r="AD571">
            <v>111340</v>
          </cell>
          <cell r="AE571">
            <v>110610</v>
          </cell>
          <cell r="AF571">
            <v>110670</v>
          </cell>
          <cell r="AG571">
            <v>110590</v>
          </cell>
          <cell r="AH571">
            <v>110640</v>
          </cell>
        </row>
        <row r="572">
          <cell r="S572">
            <v>108100</v>
          </cell>
          <cell r="T572">
            <v>108100</v>
          </cell>
          <cell r="U572">
            <v>108100</v>
          </cell>
          <cell r="V572">
            <v>108100</v>
          </cell>
          <cell r="W572">
            <v>116580</v>
          </cell>
          <cell r="X572">
            <v>116590</v>
          </cell>
          <cell r="Y572">
            <v>116530</v>
          </cell>
          <cell r="Z572">
            <v>116540</v>
          </cell>
          <cell r="AA572">
            <v>111330</v>
          </cell>
          <cell r="AB572">
            <v>111340</v>
          </cell>
          <cell r="AC572">
            <v>111200</v>
          </cell>
          <cell r="AD572">
            <v>111210</v>
          </cell>
          <cell r="AE572">
            <v>110640</v>
          </cell>
          <cell r="AF572">
            <v>110680</v>
          </cell>
          <cell r="AG572">
            <v>110600</v>
          </cell>
          <cell r="AH572">
            <v>110670</v>
          </cell>
        </row>
        <row r="573">
          <cell r="S573">
            <v>108130</v>
          </cell>
          <cell r="T573">
            <v>108140</v>
          </cell>
          <cell r="U573">
            <v>108130</v>
          </cell>
          <cell r="V573">
            <v>108140</v>
          </cell>
          <cell r="W573">
            <v>116550</v>
          </cell>
          <cell r="X573">
            <v>116570</v>
          </cell>
          <cell r="Y573">
            <v>116540</v>
          </cell>
          <cell r="Z573">
            <v>116550</v>
          </cell>
          <cell r="AA573">
            <v>111210</v>
          </cell>
          <cell r="AB573">
            <v>111270</v>
          </cell>
          <cell r="AC573">
            <v>111180</v>
          </cell>
          <cell r="AD573">
            <v>111250</v>
          </cell>
          <cell r="AE573">
            <v>110670</v>
          </cell>
          <cell r="AF573">
            <v>110710</v>
          </cell>
          <cell r="AG573">
            <v>110660</v>
          </cell>
          <cell r="AH573">
            <v>110680</v>
          </cell>
        </row>
        <row r="574">
          <cell r="S574">
            <v>108160</v>
          </cell>
          <cell r="T574">
            <v>108160</v>
          </cell>
          <cell r="U574">
            <v>108160</v>
          </cell>
          <cell r="V574">
            <v>108160</v>
          </cell>
          <cell r="W574">
            <v>116560</v>
          </cell>
          <cell r="X574">
            <v>116570</v>
          </cell>
          <cell r="Y574">
            <v>116540</v>
          </cell>
          <cell r="Z574">
            <v>116570</v>
          </cell>
          <cell r="AA574">
            <v>111240</v>
          </cell>
          <cell r="AB574">
            <v>111390</v>
          </cell>
          <cell r="AC574">
            <v>111240</v>
          </cell>
          <cell r="AD574">
            <v>111370</v>
          </cell>
          <cell r="AE574">
            <v>110690</v>
          </cell>
          <cell r="AF574">
            <v>110720</v>
          </cell>
          <cell r="AG574">
            <v>110660</v>
          </cell>
          <cell r="AH574">
            <v>110670</v>
          </cell>
        </row>
        <row r="575">
          <cell r="S575">
            <v>108200</v>
          </cell>
          <cell r="T575">
            <v>108220</v>
          </cell>
          <cell r="U575">
            <v>108200</v>
          </cell>
          <cell r="V575">
            <v>108220</v>
          </cell>
          <cell r="W575">
            <v>116580</v>
          </cell>
          <cell r="X575">
            <v>116620</v>
          </cell>
          <cell r="Y575">
            <v>116560</v>
          </cell>
          <cell r="Z575">
            <v>116580</v>
          </cell>
          <cell r="AA575">
            <v>111380</v>
          </cell>
          <cell r="AB575">
            <v>111470</v>
          </cell>
          <cell r="AC575">
            <v>111370</v>
          </cell>
          <cell r="AD575">
            <v>111410</v>
          </cell>
          <cell r="AE575">
            <v>110660</v>
          </cell>
          <cell r="AF575">
            <v>110690</v>
          </cell>
          <cell r="AG575">
            <v>110650</v>
          </cell>
          <cell r="AH575">
            <v>110670</v>
          </cell>
        </row>
        <row r="576">
          <cell r="S576">
            <v>108230</v>
          </cell>
          <cell r="T576">
            <v>108240</v>
          </cell>
          <cell r="U576">
            <v>108230</v>
          </cell>
          <cell r="V576">
            <v>108240</v>
          </cell>
          <cell r="W576">
            <v>116570</v>
          </cell>
          <cell r="X576">
            <v>116600</v>
          </cell>
          <cell r="Y576">
            <v>116570</v>
          </cell>
          <cell r="Z576">
            <v>116590</v>
          </cell>
          <cell r="AA576">
            <v>111410</v>
          </cell>
          <cell r="AB576">
            <v>111420</v>
          </cell>
          <cell r="AC576">
            <v>111350</v>
          </cell>
          <cell r="AD576">
            <v>111410</v>
          </cell>
          <cell r="AE576">
            <v>110660</v>
          </cell>
          <cell r="AF576">
            <v>110660</v>
          </cell>
          <cell r="AG576">
            <v>110600</v>
          </cell>
          <cell r="AH576">
            <v>110640</v>
          </cell>
        </row>
        <row r="577">
          <cell r="S577">
            <v>108220</v>
          </cell>
          <cell r="T577">
            <v>108230</v>
          </cell>
          <cell r="U577">
            <v>108220</v>
          </cell>
          <cell r="V577">
            <v>108230</v>
          </cell>
          <cell r="W577">
            <v>116570</v>
          </cell>
          <cell r="X577">
            <v>116600</v>
          </cell>
          <cell r="Y577">
            <v>116570</v>
          </cell>
          <cell r="Z577">
            <v>116600</v>
          </cell>
          <cell r="AA577">
            <v>111410</v>
          </cell>
          <cell r="AB577">
            <v>111430</v>
          </cell>
          <cell r="AC577">
            <v>111260</v>
          </cell>
          <cell r="AD577">
            <v>111290</v>
          </cell>
          <cell r="AE577">
            <v>110640</v>
          </cell>
          <cell r="AF577">
            <v>110760</v>
          </cell>
          <cell r="AG577">
            <v>110640</v>
          </cell>
          <cell r="AH577">
            <v>110730</v>
          </cell>
        </row>
        <row r="578">
          <cell r="S578">
            <v>108250</v>
          </cell>
          <cell r="T578">
            <v>108260</v>
          </cell>
          <cell r="U578">
            <v>108220</v>
          </cell>
          <cell r="V578">
            <v>108220</v>
          </cell>
          <cell r="W578">
            <v>116590</v>
          </cell>
          <cell r="X578">
            <v>116600</v>
          </cell>
          <cell r="Y578">
            <v>116540</v>
          </cell>
          <cell r="Z578">
            <v>116540</v>
          </cell>
          <cell r="AA578">
            <v>111300</v>
          </cell>
          <cell r="AB578">
            <v>111320</v>
          </cell>
          <cell r="AC578">
            <v>111260</v>
          </cell>
          <cell r="AD578">
            <v>111320</v>
          </cell>
          <cell r="AE578">
            <v>110730</v>
          </cell>
          <cell r="AF578">
            <v>110780</v>
          </cell>
          <cell r="AG578">
            <v>110730</v>
          </cell>
          <cell r="AH578">
            <v>110750</v>
          </cell>
        </row>
        <row r="579">
          <cell r="S579">
            <v>108250</v>
          </cell>
          <cell r="T579">
            <v>108250</v>
          </cell>
          <cell r="U579">
            <v>108250</v>
          </cell>
          <cell r="V579">
            <v>108250</v>
          </cell>
          <cell r="W579">
            <v>116550</v>
          </cell>
          <cell r="X579">
            <v>116590</v>
          </cell>
          <cell r="Y579">
            <v>116550</v>
          </cell>
          <cell r="Z579">
            <v>116580</v>
          </cell>
          <cell r="AA579">
            <v>111330</v>
          </cell>
          <cell r="AB579">
            <v>111370</v>
          </cell>
          <cell r="AC579">
            <v>111320</v>
          </cell>
          <cell r="AD579">
            <v>111350</v>
          </cell>
          <cell r="AE579">
            <v>110740</v>
          </cell>
          <cell r="AF579">
            <v>110750</v>
          </cell>
          <cell r="AG579">
            <v>110700</v>
          </cell>
          <cell r="AH579">
            <v>110740</v>
          </cell>
        </row>
        <row r="580">
          <cell r="S580">
            <v>108250</v>
          </cell>
          <cell r="T580">
            <v>108250</v>
          </cell>
          <cell r="U580">
            <v>108250</v>
          </cell>
          <cell r="V580">
            <v>108250</v>
          </cell>
          <cell r="W580">
            <v>116580</v>
          </cell>
          <cell r="X580">
            <v>116590</v>
          </cell>
          <cell r="Y580">
            <v>116560</v>
          </cell>
          <cell r="Z580">
            <v>116570</v>
          </cell>
          <cell r="AA580">
            <v>111360</v>
          </cell>
          <cell r="AB580">
            <v>111370</v>
          </cell>
          <cell r="AC580">
            <v>111280</v>
          </cell>
          <cell r="AD580">
            <v>111290</v>
          </cell>
          <cell r="AE580">
            <v>110740</v>
          </cell>
          <cell r="AF580">
            <v>110760</v>
          </cell>
          <cell r="AG580">
            <v>110660</v>
          </cell>
          <cell r="AH580">
            <v>110740</v>
          </cell>
        </row>
        <row r="581">
          <cell r="S581">
            <v>108250</v>
          </cell>
          <cell r="T581">
            <v>108250</v>
          </cell>
          <cell r="U581">
            <v>108250</v>
          </cell>
          <cell r="V581">
            <v>108250</v>
          </cell>
          <cell r="W581">
            <v>116570</v>
          </cell>
          <cell r="X581">
            <v>116590</v>
          </cell>
          <cell r="Y581">
            <v>116570</v>
          </cell>
          <cell r="Z581">
            <v>116570</v>
          </cell>
          <cell r="AA581">
            <v>111300</v>
          </cell>
          <cell r="AB581">
            <v>111350</v>
          </cell>
          <cell r="AC581">
            <v>111290</v>
          </cell>
          <cell r="AD581">
            <v>111310</v>
          </cell>
          <cell r="AE581">
            <v>110730</v>
          </cell>
          <cell r="AF581">
            <v>110790</v>
          </cell>
          <cell r="AG581">
            <v>110730</v>
          </cell>
          <cell r="AH581">
            <v>110780</v>
          </cell>
        </row>
        <row r="582">
          <cell r="S582">
            <v>108260</v>
          </cell>
          <cell r="T582">
            <v>108260</v>
          </cell>
          <cell r="U582">
            <v>108250</v>
          </cell>
          <cell r="V582">
            <v>108250</v>
          </cell>
          <cell r="W582">
            <v>116570</v>
          </cell>
          <cell r="X582">
            <v>116580</v>
          </cell>
          <cell r="Y582">
            <v>116560</v>
          </cell>
          <cell r="Z582">
            <v>116580</v>
          </cell>
          <cell r="AA582">
            <v>111310</v>
          </cell>
          <cell r="AB582">
            <v>111310</v>
          </cell>
          <cell r="AC582">
            <v>111250</v>
          </cell>
          <cell r="AD582">
            <v>111300</v>
          </cell>
          <cell r="AE582">
            <v>110780</v>
          </cell>
          <cell r="AF582">
            <v>110800</v>
          </cell>
          <cell r="AG582">
            <v>110750</v>
          </cell>
          <cell r="AH582">
            <v>110760</v>
          </cell>
        </row>
        <row r="583">
          <cell r="S583">
            <v>108260</v>
          </cell>
          <cell r="T583">
            <v>108280</v>
          </cell>
          <cell r="U583">
            <v>108260</v>
          </cell>
          <cell r="V583">
            <v>108280</v>
          </cell>
          <cell r="W583">
            <v>116590</v>
          </cell>
          <cell r="X583">
            <v>116620</v>
          </cell>
          <cell r="Y583">
            <v>116580</v>
          </cell>
          <cell r="Z583">
            <v>116590</v>
          </cell>
          <cell r="AA583">
            <v>111310</v>
          </cell>
          <cell r="AB583">
            <v>111380</v>
          </cell>
          <cell r="AC583">
            <v>111310</v>
          </cell>
          <cell r="AD583">
            <v>111330</v>
          </cell>
          <cell r="AE583">
            <v>110760</v>
          </cell>
          <cell r="AF583">
            <v>110790</v>
          </cell>
          <cell r="AG583">
            <v>110760</v>
          </cell>
          <cell r="AH583">
            <v>110770</v>
          </cell>
        </row>
        <row r="584">
          <cell r="S584">
            <v>108210</v>
          </cell>
          <cell r="T584">
            <v>108210</v>
          </cell>
          <cell r="U584">
            <v>108210</v>
          </cell>
          <cell r="V584">
            <v>108210</v>
          </cell>
          <cell r="W584">
            <v>116590</v>
          </cell>
          <cell r="X584">
            <v>116620</v>
          </cell>
          <cell r="Y584">
            <v>116590</v>
          </cell>
          <cell r="Z584">
            <v>116600</v>
          </cell>
          <cell r="AA584">
            <v>111330</v>
          </cell>
          <cell r="AB584">
            <v>111380</v>
          </cell>
          <cell r="AC584">
            <v>111330</v>
          </cell>
          <cell r="AD584">
            <v>111350</v>
          </cell>
          <cell r="AE584">
            <v>110780</v>
          </cell>
          <cell r="AF584">
            <v>110800</v>
          </cell>
          <cell r="AG584">
            <v>110760</v>
          </cell>
          <cell r="AH584">
            <v>110770</v>
          </cell>
        </row>
        <row r="585">
          <cell r="S585">
            <v>108210</v>
          </cell>
          <cell r="T585">
            <v>108210</v>
          </cell>
          <cell r="U585">
            <v>108180</v>
          </cell>
          <cell r="V585">
            <v>108180</v>
          </cell>
          <cell r="W585">
            <v>116590</v>
          </cell>
          <cell r="X585">
            <v>116620</v>
          </cell>
          <cell r="Y585">
            <v>116590</v>
          </cell>
          <cell r="Z585">
            <v>116590</v>
          </cell>
          <cell r="AA585">
            <v>111370</v>
          </cell>
          <cell r="AB585">
            <v>111370</v>
          </cell>
          <cell r="AC585">
            <v>111290</v>
          </cell>
          <cell r="AD585">
            <v>111300</v>
          </cell>
          <cell r="AE585">
            <v>110770</v>
          </cell>
          <cell r="AF585">
            <v>110780</v>
          </cell>
          <cell r="AG585">
            <v>110750</v>
          </cell>
          <cell r="AH585">
            <v>110780</v>
          </cell>
        </row>
        <row r="586">
          <cell r="S586">
            <v>108230</v>
          </cell>
          <cell r="T586">
            <v>108230</v>
          </cell>
          <cell r="U586">
            <v>108230</v>
          </cell>
          <cell r="V586">
            <v>108230</v>
          </cell>
          <cell r="W586">
            <v>116590</v>
          </cell>
          <cell r="X586">
            <v>116610</v>
          </cell>
          <cell r="Y586">
            <v>116580</v>
          </cell>
          <cell r="Z586">
            <v>116600</v>
          </cell>
          <cell r="AA586">
            <v>111310</v>
          </cell>
          <cell r="AB586">
            <v>111340</v>
          </cell>
          <cell r="AC586">
            <v>111300</v>
          </cell>
          <cell r="AD586">
            <v>111300</v>
          </cell>
          <cell r="AE586">
            <v>110790</v>
          </cell>
          <cell r="AF586">
            <v>110800</v>
          </cell>
          <cell r="AG586">
            <v>110750</v>
          </cell>
          <cell r="AH586">
            <v>110750</v>
          </cell>
        </row>
        <row r="587">
          <cell r="S587">
            <v>108240</v>
          </cell>
          <cell r="T587">
            <v>108240</v>
          </cell>
          <cell r="U587">
            <v>108240</v>
          </cell>
          <cell r="V587">
            <v>108240</v>
          </cell>
          <cell r="W587">
            <v>116610</v>
          </cell>
          <cell r="X587">
            <v>116620</v>
          </cell>
          <cell r="Y587">
            <v>116610</v>
          </cell>
          <cell r="Z587">
            <v>116610</v>
          </cell>
          <cell r="AA587">
            <v>111300</v>
          </cell>
          <cell r="AB587">
            <v>111330</v>
          </cell>
          <cell r="AC587">
            <v>111270</v>
          </cell>
          <cell r="AD587">
            <v>111330</v>
          </cell>
          <cell r="AE587">
            <v>110750</v>
          </cell>
          <cell r="AF587">
            <v>110760</v>
          </cell>
          <cell r="AG587">
            <v>110670</v>
          </cell>
          <cell r="AH587">
            <v>110680</v>
          </cell>
        </row>
        <row r="588">
          <cell r="S588">
            <v>108230</v>
          </cell>
          <cell r="T588">
            <v>108230</v>
          </cell>
          <cell r="U588">
            <v>108230</v>
          </cell>
          <cell r="V588">
            <v>108230</v>
          </cell>
          <cell r="W588">
            <v>116610</v>
          </cell>
          <cell r="X588">
            <v>116620</v>
          </cell>
          <cell r="Y588">
            <v>116610</v>
          </cell>
          <cell r="Z588">
            <v>116610</v>
          </cell>
          <cell r="AA588">
            <v>111330</v>
          </cell>
          <cell r="AB588">
            <v>111340</v>
          </cell>
          <cell r="AC588">
            <v>111290</v>
          </cell>
          <cell r="AD588">
            <v>111290</v>
          </cell>
          <cell r="AE588">
            <v>110680</v>
          </cell>
          <cell r="AF588">
            <v>110720</v>
          </cell>
          <cell r="AG588">
            <v>110650</v>
          </cell>
          <cell r="AH588">
            <v>110700</v>
          </cell>
        </row>
        <row r="589">
          <cell r="S589">
            <v>108260</v>
          </cell>
          <cell r="T589">
            <v>108280</v>
          </cell>
          <cell r="U589">
            <v>108260</v>
          </cell>
          <cell r="V589">
            <v>108280</v>
          </cell>
          <cell r="W589">
            <v>116620</v>
          </cell>
          <cell r="X589">
            <v>116620</v>
          </cell>
          <cell r="Y589">
            <v>116600</v>
          </cell>
          <cell r="Z589">
            <v>116600</v>
          </cell>
          <cell r="AA589">
            <v>111290</v>
          </cell>
          <cell r="AB589">
            <v>111310</v>
          </cell>
          <cell r="AC589">
            <v>111250</v>
          </cell>
          <cell r="AD589">
            <v>111260</v>
          </cell>
          <cell r="AE589">
            <v>110690</v>
          </cell>
          <cell r="AF589">
            <v>110720</v>
          </cell>
          <cell r="AG589">
            <v>110660</v>
          </cell>
          <cell r="AH589">
            <v>110700</v>
          </cell>
        </row>
        <row r="590">
          <cell r="S590">
            <v>108280</v>
          </cell>
          <cell r="T590">
            <v>108280</v>
          </cell>
          <cell r="U590">
            <v>108280</v>
          </cell>
          <cell r="V590">
            <v>108280</v>
          </cell>
          <cell r="W590">
            <v>116600</v>
          </cell>
          <cell r="X590">
            <v>116660</v>
          </cell>
          <cell r="Y590">
            <v>116600</v>
          </cell>
          <cell r="Z590">
            <v>116660</v>
          </cell>
          <cell r="AA590">
            <v>111270</v>
          </cell>
          <cell r="AB590">
            <v>111340</v>
          </cell>
          <cell r="AC590">
            <v>111260</v>
          </cell>
          <cell r="AD590">
            <v>111320</v>
          </cell>
          <cell r="AE590">
            <v>110700</v>
          </cell>
          <cell r="AF590">
            <v>110710</v>
          </cell>
          <cell r="AG590">
            <v>110670</v>
          </cell>
          <cell r="AH590">
            <v>110710</v>
          </cell>
        </row>
        <row r="591">
          <cell r="S591">
            <v>108250</v>
          </cell>
          <cell r="T591">
            <v>108250</v>
          </cell>
          <cell r="U591">
            <v>108250</v>
          </cell>
          <cell r="V591">
            <v>108250</v>
          </cell>
          <cell r="W591">
            <v>116650</v>
          </cell>
          <cell r="X591">
            <v>116660</v>
          </cell>
          <cell r="Y591">
            <v>116610</v>
          </cell>
          <cell r="Z591">
            <v>116640</v>
          </cell>
          <cell r="AA591">
            <v>111320</v>
          </cell>
          <cell r="AB591">
            <v>111320</v>
          </cell>
          <cell r="AC591">
            <v>111240</v>
          </cell>
          <cell r="AD591">
            <v>111280</v>
          </cell>
          <cell r="AE591">
            <v>110720</v>
          </cell>
          <cell r="AF591">
            <v>110740</v>
          </cell>
          <cell r="AG591">
            <v>110710</v>
          </cell>
          <cell r="AH591">
            <v>110720</v>
          </cell>
        </row>
        <row r="592">
          <cell r="S592">
            <v>108250</v>
          </cell>
          <cell r="T592">
            <v>108250</v>
          </cell>
          <cell r="U592">
            <v>108250</v>
          </cell>
          <cell r="V592">
            <v>108250</v>
          </cell>
          <cell r="W592">
            <v>116640</v>
          </cell>
          <cell r="X592">
            <v>116650</v>
          </cell>
          <cell r="Y592">
            <v>116580</v>
          </cell>
          <cell r="Z592">
            <v>116600</v>
          </cell>
          <cell r="AA592">
            <v>111280</v>
          </cell>
          <cell r="AB592">
            <v>111310</v>
          </cell>
          <cell r="AC592">
            <v>111280</v>
          </cell>
          <cell r="AD592">
            <v>111290</v>
          </cell>
          <cell r="AE592">
            <v>110710</v>
          </cell>
          <cell r="AF592">
            <v>110730</v>
          </cell>
          <cell r="AG592">
            <v>110700</v>
          </cell>
          <cell r="AH592">
            <v>110700</v>
          </cell>
        </row>
        <row r="593">
          <cell r="S593">
            <v>108300</v>
          </cell>
          <cell r="T593">
            <v>108400</v>
          </cell>
          <cell r="U593">
            <v>108300</v>
          </cell>
          <cell r="V593">
            <v>108350</v>
          </cell>
          <cell r="W593">
            <v>116600</v>
          </cell>
          <cell r="X593">
            <v>116620</v>
          </cell>
          <cell r="Y593">
            <v>116600</v>
          </cell>
          <cell r="Z593">
            <v>116610</v>
          </cell>
          <cell r="AA593">
            <v>111310</v>
          </cell>
          <cell r="AB593">
            <v>111330</v>
          </cell>
          <cell r="AC593">
            <v>111290</v>
          </cell>
          <cell r="AD593">
            <v>111310</v>
          </cell>
          <cell r="AE593">
            <v>110690</v>
          </cell>
          <cell r="AF593">
            <v>110750</v>
          </cell>
          <cell r="AG593">
            <v>110690</v>
          </cell>
          <cell r="AH593">
            <v>110740</v>
          </cell>
        </row>
        <row r="594">
          <cell r="S594">
            <v>108330</v>
          </cell>
          <cell r="T594">
            <v>108330</v>
          </cell>
          <cell r="U594">
            <v>108300</v>
          </cell>
          <cell r="V594">
            <v>108300</v>
          </cell>
          <cell r="W594">
            <v>116600</v>
          </cell>
          <cell r="X594">
            <v>116610</v>
          </cell>
          <cell r="Y594">
            <v>116600</v>
          </cell>
          <cell r="Z594">
            <v>116610</v>
          </cell>
          <cell r="AA594">
            <v>111300</v>
          </cell>
          <cell r="AB594">
            <v>111370</v>
          </cell>
          <cell r="AC594">
            <v>111270</v>
          </cell>
          <cell r="AD594">
            <v>111340</v>
          </cell>
          <cell r="AE594">
            <v>110750</v>
          </cell>
          <cell r="AF594">
            <v>110770</v>
          </cell>
          <cell r="AG594">
            <v>110750</v>
          </cell>
          <cell r="AH594">
            <v>110750</v>
          </cell>
        </row>
        <row r="595">
          <cell r="S595">
            <v>108290</v>
          </cell>
          <cell r="T595">
            <v>108290</v>
          </cell>
          <cell r="U595">
            <v>108290</v>
          </cell>
          <cell r="V595">
            <v>108290</v>
          </cell>
          <cell r="W595">
            <v>116600</v>
          </cell>
          <cell r="X595">
            <v>116610</v>
          </cell>
          <cell r="Y595">
            <v>116590</v>
          </cell>
          <cell r="Z595">
            <v>116610</v>
          </cell>
          <cell r="AA595">
            <v>111350</v>
          </cell>
          <cell r="AB595">
            <v>111470</v>
          </cell>
          <cell r="AC595">
            <v>111350</v>
          </cell>
          <cell r="AD595">
            <v>111450</v>
          </cell>
          <cell r="AE595">
            <v>110760</v>
          </cell>
          <cell r="AF595">
            <v>110780</v>
          </cell>
          <cell r="AG595">
            <v>110730</v>
          </cell>
          <cell r="AH595">
            <v>110770</v>
          </cell>
        </row>
        <row r="596">
          <cell r="S596">
            <v>108260</v>
          </cell>
          <cell r="T596">
            <v>108290</v>
          </cell>
          <cell r="U596">
            <v>108260</v>
          </cell>
          <cell r="V596">
            <v>108290</v>
          </cell>
          <cell r="W596">
            <v>116610</v>
          </cell>
          <cell r="X596">
            <v>116640</v>
          </cell>
          <cell r="Y596">
            <v>116610</v>
          </cell>
          <cell r="Z596">
            <v>116630</v>
          </cell>
          <cell r="AA596">
            <v>111460</v>
          </cell>
          <cell r="AB596">
            <v>111620</v>
          </cell>
          <cell r="AC596">
            <v>111460</v>
          </cell>
          <cell r="AD596">
            <v>111560</v>
          </cell>
          <cell r="AE596">
            <v>110780</v>
          </cell>
          <cell r="AF596">
            <v>110790</v>
          </cell>
          <cell r="AG596">
            <v>110760</v>
          </cell>
          <cell r="AH596">
            <v>110770</v>
          </cell>
        </row>
        <row r="597">
          <cell r="S597">
            <v>108260</v>
          </cell>
          <cell r="T597">
            <v>108260</v>
          </cell>
          <cell r="U597">
            <v>108260</v>
          </cell>
          <cell r="V597">
            <v>108260</v>
          </cell>
          <cell r="W597">
            <v>116630</v>
          </cell>
          <cell r="X597">
            <v>116650</v>
          </cell>
          <cell r="Y597">
            <v>116610</v>
          </cell>
          <cell r="Z597">
            <v>116630</v>
          </cell>
          <cell r="AA597">
            <v>111570</v>
          </cell>
          <cell r="AB597">
            <v>111590</v>
          </cell>
          <cell r="AC597">
            <v>111510</v>
          </cell>
          <cell r="AD597">
            <v>111510</v>
          </cell>
          <cell r="AE597">
            <v>110770</v>
          </cell>
          <cell r="AF597">
            <v>110790</v>
          </cell>
          <cell r="AG597">
            <v>110750</v>
          </cell>
          <cell r="AH597">
            <v>110750</v>
          </cell>
        </row>
        <row r="598">
          <cell r="S598">
            <v>108280</v>
          </cell>
          <cell r="T598">
            <v>108280</v>
          </cell>
          <cell r="U598">
            <v>108280</v>
          </cell>
          <cell r="V598">
            <v>108280</v>
          </cell>
          <cell r="W598">
            <v>116640</v>
          </cell>
          <cell r="X598">
            <v>116660</v>
          </cell>
          <cell r="Y598">
            <v>116630</v>
          </cell>
          <cell r="Z598">
            <v>116650</v>
          </cell>
          <cell r="AA598">
            <v>111520</v>
          </cell>
          <cell r="AB598">
            <v>111670</v>
          </cell>
          <cell r="AC598">
            <v>111520</v>
          </cell>
          <cell r="AD598">
            <v>111600</v>
          </cell>
          <cell r="AE598">
            <v>110760</v>
          </cell>
          <cell r="AF598">
            <v>110790</v>
          </cell>
          <cell r="AG598">
            <v>110750</v>
          </cell>
          <cell r="AH598">
            <v>110790</v>
          </cell>
        </row>
        <row r="599">
          <cell r="S599">
            <v>108350</v>
          </cell>
          <cell r="T599">
            <v>108350</v>
          </cell>
          <cell r="U599">
            <v>108350</v>
          </cell>
          <cell r="V599">
            <v>108350</v>
          </cell>
          <cell r="W599">
            <v>116650</v>
          </cell>
          <cell r="X599">
            <v>116680</v>
          </cell>
          <cell r="Y599">
            <v>116640</v>
          </cell>
          <cell r="Z599">
            <v>116650</v>
          </cell>
          <cell r="AA599">
            <v>111610</v>
          </cell>
          <cell r="AB599">
            <v>111660</v>
          </cell>
          <cell r="AC599">
            <v>111610</v>
          </cell>
          <cell r="AD599">
            <v>111650</v>
          </cell>
          <cell r="AE599">
            <v>110790</v>
          </cell>
          <cell r="AF599">
            <v>110790</v>
          </cell>
          <cell r="AG599">
            <v>110760</v>
          </cell>
          <cell r="AH599">
            <v>110760</v>
          </cell>
        </row>
        <row r="600">
          <cell r="S600">
            <v>108340</v>
          </cell>
          <cell r="T600">
            <v>108370</v>
          </cell>
          <cell r="U600">
            <v>108330</v>
          </cell>
          <cell r="V600">
            <v>108330</v>
          </cell>
          <cell r="W600">
            <v>116650</v>
          </cell>
          <cell r="X600">
            <v>116670</v>
          </cell>
          <cell r="Y600">
            <v>116650</v>
          </cell>
          <cell r="Z600">
            <v>116660</v>
          </cell>
          <cell r="AA600">
            <v>111650</v>
          </cell>
          <cell r="AB600">
            <v>111700</v>
          </cell>
          <cell r="AC600">
            <v>111640</v>
          </cell>
          <cell r="AD600">
            <v>111670</v>
          </cell>
          <cell r="AE600">
            <v>110780</v>
          </cell>
          <cell r="AF600">
            <v>110800</v>
          </cell>
          <cell r="AG600">
            <v>110760</v>
          </cell>
          <cell r="AH600">
            <v>110800</v>
          </cell>
        </row>
        <row r="601">
          <cell r="S601">
            <v>108330</v>
          </cell>
          <cell r="T601">
            <v>108330</v>
          </cell>
          <cell r="U601">
            <v>108290</v>
          </cell>
          <cell r="V601">
            <v>108290</v>
          </cell>
          <cell r="W601">
            <v>116670</v>
          </cell>
          <cell r="X601">
            <v>116700</v>
          </cell>
          <cell r="Y601">
            <v>116670</v>
          </cell>
          <cell r="Z601">
            <v>116680</v>
          </cell>
          <cell r="AA601">
            <v>111670</v>
          </cell>
          <cell r="AB601">
            <v>111700</v>
          </cell>
          <cell r="AC601">
            <v>111630</v>
          </cell>
          <cell r="AD601">
            <v>111630</v>
          </cell>
          <cell r="AE601">
            <v>110800</v>
          </cell>
          <cell r="AF601">
            <v>110800</v>
          </cell>
          <cell r="AG601">
            <v>110750</v>
          </cell>
          <cell r="AH601">
            <v>110780</v>
          </cell>
        </row>
        <row r="602">
          <cell r="S602">
            <v>108300</v>
          </cell>
          <cell r="T602">
            <v>108300</v>
          </cell>
          <cell r="U602">
            <v>108300</v>
          </cell>
          <cell r="V602">
            <v>108300</v>
          </cell>
          <cell r="W602">
            <v>116670</v>
          </cell>
          <cell r="X602">
            <v>116680</v>
          </cell>
          <cell r="Y602">
            <v>116660</v>
          </cell>
          <cell r="Z602">
            <v>116670</v>
          </cell>
          <cell r="AA602">
            <v>111640</v>
          </cell>
          <cell r="AB602">
            <v>111640</v>
          </cell>
          <cell r="AC602">
            <v>111590</v>
          </cell>
          <cell r="AD602">
            <v>111620</v>
          </cell>
          <cell r="AE602">
            <v>110780</v>
          </cell>
          <cell r="AF602">
            <v>110790</v>
          </cell>
          <cell r="AG602">
            <v>110750</v>
          </cell>
          <cell r="AH602">
            <v>110750</v>
          </cell>
        </row>
        <row r="603">
          <cell r="S603">
            <v>108340</v>
          </cell>
          <cell r="T603">
            <v>108340</v>
          </cell>
          <cell r="U603">
            <v>108340</v>
          </cell>
          <cell r="V603">
            <v>108340</v>
          </cell>
          <cell r="W603">
            <v>116690</v>
          </cell>
          <cell r="X603">
            <v>116730</v>
          </cell>
          <cell r="Y603">
            <v>116680</v>
          </cell>
          <cell r="Z603">
            <v>116720</v>
          </cell>
          <cell r="AA603">
            <v>111600</v>
          </cell>
          <cell r="AB603">
            <v>111650</v>
          </cell>
          <cell r="AC603">
            <v>111580</v>
          </cell>
          <cell r="AD603">
            <v>111640</v>
          </cell>
          <cell r="AE603">
            <v>110750</v>
          </cell>
          <cell r="AF603">
            <v>110790</v>
          </cell>
          <cell r="AG603">
            <v>110750</v>
          </cell>
          <cell r="AH603">
            <v>110770</v>
          </cell>
        </row>
        <row r="604">
          <cell r="S604">
            <v>108320</v>
          </cell>
          <cell r="T604">
            <v>108320</v>
          </cell>
          <cell r="U604">
            <v>108320</v>
          </cell>
          <cell r="V604">
            <v>108320</v>
          </cell>
          <cell r="W604">
            <v>116720</v>
          </cell>
          <cell r="X604">
            <v>116770</v>
          </cell>
          <cell r="Y604">
            <v>116710</v>
          </cell>
          <cell r="Z604">
            <v>116730</v>
          </cell>
          <cell r="AA604">
            <v>111640</v>
          </cell>
          <cell r="AB604">
            <v>111650</v>
          </cell>
          <cell r="AC604">
            <v>111610</v>
          </cell>
          <cell r="AD604">
            <v>111630</v>
          </cell>
          <cell r="AE604">
            <v>110760</v>
          </cell>
          <cell r="AF604">
            <v>110770</v>
          </cell>
          <cell r="AG604">
            <v>110750</v>
          </cell>
          <cell r="AH604">
            <v>110760</v>
          </cell>
        </row>
        <row r="605">
          <cell r="S605">
            <v>108320</v>
          </cell>
          <cell r="T605">
            <v>108320</v>
          </cell>
          <cell r="U605">
            <v>108320</v>
          </cell>
          <cell r="V605">
            <v>108320</v>
          </cell>
          <cell r="W605">
            <v>116740</v>
          </cell>
          <cell r="X605">
            <v>116800</v>
          </cell>
          <cell r="Y605">
            <v>116730</v>
          </cell>
          <cell r="Z605">
            <v>116780</v>
          </cell>
          <cell r="AA605">
            <v>111640</v>
          </cell>
          <cell r="AB605">
            <v>111690</v>
          </cell>
          <cell r="AC605">
            <v>111640</v>
          </cell>
          <cell r="AD605">
            <v>111660</v>
          </cell>
          <cell r="AE605">
            <v>110770</v>
          </cell>
          <cell r="AF605">
            <v>110810</v>
          </cell>
          <cell r="AG605">
            <v>110760</v>
          </cell>
          <cell r="AH605">
            <v>110810</v>
          </cell>
        </row>
        <row r="606">
          <cell r="S606">
            <v>108320</v>
          </cell>
          <cell r="T606">
            <v>108320</v>
          </cell>
          <cell r="U606">
            <v>108300</v>
          </cell>
          <cell r="V606">
            <v>108320</v>
          </cell>
          <cell r="W606">
            <v>116800</v>
          </cell>
          <cell r="X606">
            <v>116820</v>
          </cell>
          <cell r="Y606">
            <v>116780</v>
          </cell>
          <cell r="Z606">
            <v>116780</v>
          </cell>
          <cell r="AA606">
            <v>111660</v>
          </cell>
          <cell r="AB606">
            <v>111680</v>
          </cell>
          <cell r="AC606">
            <v>111600</v>
          </cell>
          <cell r="AD606">
            <v>111600</v>
          </cell>
          <cell r="AE606">
            <v>110810</v>
          </cell>
          <cell r="AF606">
            <v>110810</v>
          </cell>
          <cell r="AG606">
            <v>110760</v>
          </cell>
          <cell r="AH606">
            <v>110780</v>
          </cell>
        </row>
        <row r="607">
          <cell r="S607">
            <v>108310</v>
          </cell>
          <cell r="T607">
            <v>108310</v>
          </cell>
          <cell r="U607">
            <v>108310</v>
          </cell>
          <cell r="V607">
            <v>108310</v>
          </cell>
          <cell r="W607">
            <v>116780</v>
          </cell>
          <cell r="X607">
            <v>116790</v>
          </cell>
          <cell r="Y607">
            <v>116720</v>
          </cell>
          <cell r="Z607">
            <v>116770</v>
          </cell>
          <cell r="AA607">
            <v>111600</v>
          </cell>
          <cell r="AB607">
            <v>111630</v>
          </cell>
          <cell r="AC607">
            <v>111580</v>
          </cell>
          <cell r="AD607">
            <v>111610</v>
          </cell>
          <cell r="AE607">
            <v>110770</v>
          </cell>
          <cell r="AF607">
            <v>110850</v>
          </cell>
          <cell r="AG607">
            <v>110760</v>
          </cell>
          <cell r="AH607">
            <v>110810</v>
          </cell>
        </row>
        <row r="608">
          <cell r="S608">
            <v>108290</v>
          </cell>
          <cell r="T608">
            <v>108290</v>
          </cell>
          <cell r="U608">
            <v>108290</v>
          </cell>
          <cell r="V608">
            <v>108290</v>
          </cell>
          <cell r="W608">
            <v>116760</v>
          </cell>
          <cell r="X608">
            <v>116760</v>
          </cell>
          <cell r="Y608">
            <v>116720</v>
          </cell>
          <cell r="Z608">
            <v>116720</v>
          </cell>
          <cell r="AA608">
            <v>111600</v>
          </cell>
          <cell r="AB608">
            <v>111610</v>
          </cell>
          <cell r="AC608">
            <v>111530</v>
          </cell>
          <cell r="AD608">
            <v>111550</v>
          </cell>
          <cell r="AE608">
            <v>110810</v>
          </cell>
          <cell r="AF608">
            <v>110830</v>
          </cell>
          <cell r="AG608">
            <v>110790</v>
          </cell>
          <cell r="AH608">
            <v>110830</v>
          </cell>
        </row>
        <row r="609">
          <cell r="S609">
            <v>108230</v>
          </cell>
          <cell r="T609">
            <v>108230</v>
          </cell>
          <cell r="U609">
            <v>108210</v>
          </cell>
          <cell r="V609">
            <v>108230</v>
          </cell>
          <cell r="W609">
            <v>116730</v>
          </cell>
          <cell r="X609">
            <v>116740</v>
          </cell>
          <cell r="Y609">
            <v>116720</v>
          </cell>
          <cell r="Z609">
            <v>116740</v>
          </cell>
          <cell r="AA609">
            <v>111550</v>
          </cell>
          <cell r="AB609">
            <v>111590</v>
          </cell>
          <cell r="AC609">
            <v>111530</v>
          </cell>
          <cell r="AD609">
            <v>111560</v>
          </cell>
          <cell r="AE609">
            <v>110840</v>
          </cell>
          <cell r="AF609">
            <v>110840</v>
          </cell>
          <cell r="AG609">
            <v>110810</v>
          </cell>
          <cell r="AH609">
            <v>110810</v>
          </cell>
        </row>
        <row r="610">
          <cell r="S610">
            <v>108260</v>
          </cell>
          <cell r="T610">
            <v>108260</v>
          </cell>
          <cell r="U610">
            <v>108260</v>
          </cell>
          <cell r="V610">
            <v>108260</v>
          </cell>
          <cell r="W610">
            <v>116750</v>
          </cell>
          <cell r="X610">
            <v>116760</v>
          </cell>
          <cell r="Y610">
            <v>116750</v>
          </cell>
          <cell r="Z610">
            <v>116760</v>
          </cell>
          <cell r="AA610">
            <v>111550</v>
          </cell>
          <cell r="AB610">
            <v>111550</v>
          </cell>
          <cell r="AC610">
            <v>111500</v>
          </cell>
          <cell r="AD610">
            <v>111500</v>
          </cell>
          <cell r="AE610">
            <v>110810</v>
          </cell>
          <cell r="AF610">
            <v>110830</v>
          </cell>
          <cell r="AG610">
            <v>110790</v>
          </cell>
          <cell r="AH610">
            <v>110790</v>
          </cell>
        </row>
        <row r="611">
          <cell r="S611">
            <v>108280</v>
          </cell>
          <cell r="T611">
            <v>108280</v>
          </cell>
          <cell r="U611">
            <v>108280</v>
          </cell>
          <cell r="V611">
            <v>108280</v>
          </cell>
          <cell r="W611">
            <v>116770</v>
          </cell>
          <cell r="X611">
            <v>116790</v>
          </cell>
          <cell r="Y611">
            <v>116760</v>
          </cell>
          <cell r="Z611">
            <v>116780</v>
          </cell>
          <cell r="AA611">
            <v>111500</v>
          </cell>
          <cell r="AB611">
            <v>111530</v>
          </cell>
          <cell r="AC611">
            <v>111480</v>
          </cell>
          <cell r="AD611">
            <v>111510</v>
          </cell>
          <cell r="AE611">
            <v>110790</v>
          </cell>
          <cell r="AF611">
            <v>110820</v>
          </cell>
          <cell r="AG611">
            <v>110790</v>
          </cell>
          <cell r="AH611">
            <v>110790</v>
          </cell>
        </row>
        <row r="612">
          <cell r="S612">
            <v>108240</v>
          </cell>
          <cell r="T612">
            <v>108250</v>
          </cell>
          <cell r="U612">
            <v>108240</v>
          </cell>
          <cell r="V612">
            <v>108250</v>
          </cell>
          <cell r="W612">
            <v>116790</v>
          </cell>
          <cell r="X612">
            <v>116810</v>
          </cell>
          <cell r="Y612">
            <v>116760</v>
          </cell>
          <cell r="Z612">
            <v>116810</v>
          </cell>
          <cell r="AA612">
            <v>111510</v>
          </cell>
          <cell r="AB612">
            <v>111510</v>
          </cell>
          <cell r="AC612">
            <v>111430</v>
          </cell>
          <cell r="AD612">
            <v>111470</v>
          </cell>
          <cell r="AE612">
            <v>110790</v>
          </cell>
          <cell r="AF612">
            <v>110810</v>
          </cell>
          <cell r="AG612">
            <v>110790</v>
          </cell>
          <cell r="AH612">
            <v>110810</v>
          </cell>
        </row>
        <row r="613">
          <cell r="S613">
            <v>108240</v>
          </cell>
          <cell r="T613">
            <v>108240</v>
          </cell>
          <cell r="U613">
            <v>108230</v>
          </cell>
          <cell r="V613">
            <v>108230</v>
          </cell>
          <cell r="W613">
            <v>116810</v>
          </cell>
          <cell r="X613">
            <v>116860</v>
          </cell>
          <cell r="Y613">
            <v>116800</v>
          </cell>
          <cell r="Z613">
            <v>116820</v>
          </cell>
          <cell r="AA613">
            <v>111470</v>
          </cell>
          <cell r="AB613">
            <v>111490</v>
          </cell>
          <cell r="AC613">
            <v>111360</v>
          </cell>
          <cell r="AD613">
            <v>111360</v>
          </cell>
          <cell r="AE613">
            <v>110800</v>
          </cell>
          <cell r="AF613">
            <v>110820</v>
          </cell>
          <cell r="AG613">
            <v>110790</v>
          </cell>
          <cell r="AH613">
            <v>110820</v>
          </cell>
        </row>
        <row r="614">
          <cell r="S614">
            <v>108210</v>
          </cell>
          <cell r="T614">
            <v>108210</v>
          </cell>
          <cell r="U614">
            <v>108210</v>
          </cell>
          <cell r="V614">
            <v>108210</v>
          </cell>
          <cell r="W614">
            <v>116810</v>
          </cell>
          <cell r="X614">
            <v>116810</v>
          </cell>
          <cell r="Y614">
            <v>116780</v>
          </cell>
          <cell r="Z614">
            <v>116790</v>
          </cell>
          <cell r="AA614">
            <v>111370</v>
          </cell>
          <cell r="AB614">
            <v>111370</v>
          </cell>
          <cell r="AC614">
            <v>111250</v>
          </cell>
          <cell r="AD614">
            <v>111290</v>
          </cell>
          <cell r="AE614">
            <v>110820</v>
          </cell>
          <cell r="AF614">
            <v>110830</v>
          </cell>
          <cell r="AG614">
            <v>110810</v>
          </cell>
          <cell r="AH614">
            <v>110820</v>
          </cell>
        </row>
        <row r="615">
          <cell r="S615">
            <v>108200</v>
          </cell>
          <cell r="T615">
            <v>108200</v>
          </cell>
          <cell r="U615">
            <v>108200</v>
          </cell>
          <cell r="V615">
            <v>108200</v>
          </cell>
          <cell r="W615">
            <v>116790</v>
          </cell>
          <cell r="X615">
            <v>116840</v>
          </cell>
          <cell r="Y615">
            <v>116790</v>
          </cell>
          <cell r="Z615">
            <v>116820</v>
          </cell>
          <cell r="AA615">
            <v>111290</v>
          </cell>
          <cell r="AB615">
            <v>111360</v>
          </cell>
          <cell r="AC615">
            <v>111290</v>
          </cell>
          <cell r="AD615">
            <v>111360</v>
          </cell>
          <cell r="AE615">
            <v>110820</v>
          </cell>
          <cell r="AF615">
            <v>110830</v>
          </cell>
          <cell r="AG615">
            <v>110810</v>
          </cell>
          <cell r="AH615">
            <v>110820</v>
          </cell>
        </row>
        <row r="616">
          <cell r="S616">
            <v>108180</v>
          </cell>
          <cell r="T616">
            <v>108180</v>
          </cell>
          <cell r="U616">
            <v>108180</v>
          </cell>
          <cell r="V616">
            <v>108180</v>
          </cell>
          <cell r="W616">
            <v>116820</v>
          </cell>
          <cell r="X616">
            <v>116830</v>
          </cell>
          <cell r="Y616">
            <v>116790</v>
          </cell>
          <cell r="Z616">
            <v>116800</v>
          </cell>
          <cell r="AA616">
            <v>111360</v>
          </cell>
          <cell r="AB616">
            <v>111360</v>
          </cell>
          <cell r="AC616">
            <v>111300</v>
          </cell>
          <cell r="AD616">
            <v>111360</v>
          </cell>
          <cell r="AE616">
            <v>110810</v>
          </cell>
          <cell r="AF616">
            <v>110810</v>
          </cell>
          <cell r="AG616">
            <v>110770</v>
          </cell>
          <cell r="AH616">
            <v>110790</v>
          </cell>
        </row>
        <row r="617">
          <cell r="S617">
            <v>108190</v>
          </cell>
          <cell r="T617">
            <v>108190</v>
          </cell>
          <cell r="U617">
            <v>108190</v>
          </cell>
          <cell r="V617">
            <v>108190</v>
          </cell>
          <cell r="W617">
            <v>116800</v>
          </cell>
          <cell r="X617">
            <v>116820</v>
          </cell>
          <cell r="Y617">
            <v>116680</v>
          </cell>
          <cell r="Z617">
            <v>116710</v>
          </cell>
          <cell r="AA617">
            <v>111360</v>
          </cell>
          <cell r="AB617">
            <v>111370</v>
          </cell>
          <cell r="AC617">
            <v>111300</v>
          </cell>
          <cell r="AD617">
            <v>111310</v>
          </cell>
          <cell r="AE617">
            <v>110780</v>
          </cell>
          <cell r="AF617">
            <v>110790</v>
          </cell>
          <cell r="AG617">
            <v>110750</v>
          </cell>
          <cell r="AH617">
            <v>110760</v>
          </cell>
        </row>
        <row r="618">
          <cell r="S618">
            <v>108170</v>
          </cell>
          <cell r="T618">
            <v>108170</v>
          </cell>
          <cell r="U618">
            <v>108170</v>
          </cell>
          <cell r="V618">
            <v>108170</v>
          </cell>
          <cell r="W618">
            <v>116700</v>
          </cell>
          <cell r="X618">
            <v>116730</v>
          </cell>
          <cell r="Y618">
            <v>116680</v>
          </cell>
          <cell r="Z618">
            <v>116700</v>
          </cell>
          <cell r="AA618">
            <v>111320</v>
          </cell>
          <cell r="AB618">
            <v>111320</v>
          </cell>
          <cell r="AC618">
            <v>111180</v>
          </cell>
          <cell r="AD618">
            <v>111240</v>
          </cell>
          <cell r="AE618">
            <v>110760</v>
          </cell>
          <cell r="AF618">
            <v>110810</v>
          </cell>
          <cell r="AG618">
            <v>110750</v>
          </cell>
          <cell r="AH618">
            <v>110810</v>
          </cell>
        </row>
        <row r="619">
          <cell r="S619">
            <v>108190</v>
          </cell>
          <cell r="T619">
            <v>108190</v>
          </cell>
          <cell r="U619">
            <v>108190</v>
          </cell>
          <cell r="V619">
            <v>108190</v>
          </cell>
          <cell r="W619">
            <v>116700</v>
          </cell>
          <cell r="X619">
            <v>116750</v>
          </cell>
          <cell r="Y619">
            <v>116700</v>
          </cell>
          <cell r="Z619">
            <v>116740</v>
          </cell>
          <cell r="AA619">
            <v>111230</v>
          </cell>
          <cell r="AB619">
            <v>111250</v>
          </cell>
          <cell r="AC619">
            <v>111150</v>
          </cell>
          <cell r="AD619">
            <v>111160</v>
          </cell>
          <cell r="AE619">
            <v>110800</v>
          </cell>
          <cell r="AF619">
            <v>110810</v>
          </cell>
          <cell r="AG619">
            <v>110800</v>
          </cell>
          <cell r="AH619">
            <v>110800</v>
          </cell>
        </row>
        <row r="620">
          <cell r="S620">
            <v>108180</v>
          </cell>
          <cell r="T620">
            <v>108180</v>
          </cell>
          <cell r="U620">
            <v>108180</v>
          </cell>
          <cell r="V620">
            <v>108180</v>
          </cell>
          <cell r="W620">
            <v>116750</v>
          </cell>
          <cell r="X620">
            <v>116770</v>
          </cell>
          <cell r="Y620">
            <v>116730</v>
          </cell>
          <cell r="Z620">
            <v>116770</v>
          </cell>
          <cell r="AA620">
            <v>111170</v>
          </cell>
          <cell r="AB620">
            <v>111220</v>
          </cell>
          <cell r="AC620">
            <v>111150</v>
          </cell>
          <cell r="AD620">
            <v>111160</v>
          </cell>
          <cell r="AE620">
            <v>110790</v>
          </cell>
          <cell r="AF620">
            <v>110800</v>
          </cell>
          <cell r="AG620">
            <v>110780</v>
          </cell>
          <cell r="AH620">
            <v>110790</v>
          </cell>
        </row>
        <row r="621">
          <cell r="S621">
            <v>108150</v>
          </cell>
          <cell r="T621">
            <v>108150</v>
          </cell>
          <cell r="U621">
            <v>108150</v>
          </cell>
          <cell r="V621">
            <v>108150</v>
          </cell>
          <cell r="W621">
            <v>116770</v>
          </cell>
          <cell r="X621">
            <v>116780</v>
          </cell>
          <cell r="Y621">
            <v>116740</v>
          </cell>
          <cell r="Z621">
            <v>116770</v>
          </cell>
          <cell r="AA621">
            <v>111170</v>
          </cell>
          <cell r="AB621">
            <v>111170</v>
          </cell>
          <cell r="AC621">
            <v>111040</v>
          </cell>
          <cell r="AD621">
            <v>111120</v>
          </cell>
          <cell r="AE621">
            <v>110780</v>
          </cell>
          <cell r="AF621">
            <v>110790</v>
          </cell>
          <cell r="AG621">
            <v>110740</v>
          </cell>
          <cell r="AH621">
            <v>110750</v>
          </cell>
        </row>
        <row r="622">
          <cell r="S622">
            <v>108140</v>
          </cell>
          <cell r="T622">
            <v>108140</v>
          </cell>
          <cell r="U622">
            <v>108100</v>
          </cell>
          <cell r="V622">
            <v>108100</v>
          </cell>
          <cell r="W622">
            <v>116780</v>
          </cell>
          <cell r="X622">
            <v>116840</v>
          </cell>
          <cell r="Y622">
            <v>116780</v>
          </cell>
          <cell r="Z622">
            <v>116840</v>
          </cell>
          <cell r="AA622">
            <v>111110</v>
          </cell>
          <cell r="AB622">
            <v>111180</v>
          </cell>
          <cell r="AC622">
            <v>111070</v>
          </cell>
          <cell r="AD622">
            <v>111150</v>
          </cell>
          <cell r="AE622">
            <v>110750</v>
          </cell>
          <cell r="AF622">
            <v>110750</v>
          </cell>
          <cell r="AG622">
            <v>110690</v>
          </cell>
          <cell r="AH622">
            <v>110700</v>
          </cell>
        </row>
        <row r="623">
          <cell r="S623">
            <v>108070</v>
          </cell>
          <cell r="T623">
            <v>108100</v>
          </cell>
          <cell r="U623">
            <v>108050</v>
          </cell>
          <cell r="V623">
            <v>108050</v>
          </cell>
          <cell r="W623">
            <v>116830</v>
          </cell>
          <cell r="X623">
            <v>116870</v>
          </cell>
          <cell r="Y623">
            <v>116830</v>
          </cell>
          <cell r="Z623">
            <v>116840</v>
          </cell>
          <cell r="AA623">
            <v>111160</v>
          </cell>
          <cell r="AB623">
            <v>111230</v>
          </cell>
          <cell r="AC623">
            <v>111120</v>
          </cell>
          <cell r="AD623">
            <v>111210</v>
          </cell>
          <cell r="AE623">
            <v>110700</v>
          </cell>
          <cell r="AF623">
            <v>110720</v>
          </cell>
          <cell r="AG623">
            <v>110680</v>
          </cell>
          <cell r="AH623">
            <v>110680</v>
          </cell>
        </row>
        <row r="624">
          <cell r="S624">
            <v>108120</v>
          </cell>
          <cell r="T624">
            <v>108120</v>
          </cell>
          <cell r="U624">
            <v>108120</v>
          </cell>
          <cell r="V624">
            <v>108120</v>
          </cell>
          <cell r="W624">
            <v>116850</v>
          </cell>
          <cell r="X624">
            <v>116850</v>
          </cell>
          <cell r="Y624">
            <v>116800</v>
          </cell>
          <cell r="Z624">
            <v>116800</v>
          </cell>
          <cell r="AA624">
            <v>111210</v>
          </cell>
          <cell r="AB624">
            <v>111320</v>
          </cell>
          <cell r="AC624">
            <v>111200</v>
          </cell>
          <cell r="AD624">
            <v>111300</v>
          </cell>
          <cell r="AE624">
            <v>110680</v>
          </cell>
          <cell r="AF624">
            <v>110700</v>
          </cell>
          <cell r="AG624">
            <v>110680</v>
          </cell>
          <cell r="AH624">
            <v>110700</v>
          </cell>
        </row>
        <row r="625">
          <cell r="S625">
            <v>108130</v>
          </cell>
          <cell r="T625">
            <v>108130</v>
          </cell>
          <cell r="U625">
            <v>108130</v>
          </cell>
          <cell r="V625">
            <v>108130</v>
          </cell>
          <cell r="W625">
            <v>116800</v>
          </cell>
          <cell r="X625">
            <v>116860</v>
          </cell>
          <cell r="Y625">
            <v>116800</v>
          </cell>
          <cell r="Z625">
            <v>116850</v>
          </cell>
          <cell r="AA625">
            <v>111310</v>
          </cell>
          <cell r="AB625">
            <v>111450</v>
          </cell>
          <cell r="AC625">
            <v>111290</v>
          </cell>
          <cell r="AD625">
            <v>111370</v>
          </cell>
          <cell r="AE625">
            <v>110680</v>
          </cell>
          <cell r="AF625">
            <v>110700</v>
          </cell>
          <cell r="AG625">
            <v>110670</v>
          </cell>
          <cell r="AH625">
            <v>110690</v>
          </cell>
        </row>
        <row r="626">
          <cell r="S626">
            <v>108140</v>
          </cell>
          <cell r="T626">
            <v>108140</v>
          </cell>
          <cell r="U626">
            <v>108140</v>
          </cell>
          <cell r="V626">
            <v>108140</v>
          </cell>
          <cell r="W626">
            <v>116840</v>
          </cell>
          <cell r="X626">
            <v>116870</v>
          </cell>
          <cell r="Y626">
            <v>116820</v>
          </cell>
          <cell r="Z626">
            <v>116830</v>
          </cell>
          <cell r="AA626">
            <v>111370</v>
          </cell>
          <cell r="AB626">
            <v>111410</v>
          </cell>
          <cell r="AC626">
            <v>111350</v>
          </cell>
          <cell r="AD626">
            <v>111380</v>
          </cell>
          <cell r="AE626">
            <v>110680</v>
          </cell>
          <cell r="AF626">
            <v>110730</v>
          </cell>
          <cell r="AG626">
            <v>110670</v>
          </cell>
          <cell r="AH626">
            <v>110690</v>
          </cell>
        </row>
        <row r="627">
          <cell r="S627">
            <v>108140</v>
          </cell>
          <cell r="T627">
            <v>108180</v>
          </cell>
          <cell r="U627">
            <v>108140</v>
          </cell>
          <cell r="V627">
            <v>108180</v>
          </cell>
          <cell r="W627">
            <v>116830</v>
          </cell>
          <cell r="X627">
            <v>116850</v>
          </cell>
          <cell r="Y627">
            <v>116820</v>
          </cell>
          <cell r="Z627">
            <v>116850</v>
          </cell>
          <cell r="AA627">
            <v>111390</v>
          </cell>
          <cell r="AB627">
            <v>111390</v>
          </cell>
          <cell r="AC627">
            <v>111280</v>
          </cell>
          <cell r="AD627">
            <v>111350</v>
          </cell>
          <cell r="AE627">
            <v>110710</v>
          </cell>
          <cell r="AF627">
            <v>110730</v>
          </cell>
          <cell r="AG627">
            <v>110700</v>
          </cell>
          <cell r="AH627">
            <v>110720</v>
          </cell>
        </row>
        <row r="628">
          <cell r="S628">
            <v>108180</v>
          </cell>
          <cell r="T628">
            <v>108180</v>
          </cell>
          <cell r="U628">
            <v>108180</v>
          </cell>
          <cell r="V628">
            <v>108180</v>
          </cell>
          <cell r="W628">
            <v>116860</v>
          </cell>
          <cell r="X628">
            <v>116890</v>
          </cell>
          <cell r="Y628">
            <v>116850</v>
          </cell>
          <cell r="Z628">
            <v>116870</v>
          </cell>
          <cell r="AA628">
            <v>111350</v>
          </cell>
          <cell r="AB628">
            <v>111530</v>
          </cell>
          <cell r="AC628">
            <v>111320</v>
          </cell>
          <cell r="AD628">
            <v>111360</v>
          </cell>
          <cell r="AE628">
            <v>110710</v>
          </cell>
          <cell r="AF628">
            <v>110750</v>
          </cell>
          <cell r="AG628">
            <v>110700</v>
          </cell>
          <cell r="AH628">
            <v>110750</v>
          </cell>
        </row>
        <row r="629">
          <cell r="S629">
            <v>108190</v>
          </cell>
          <cell r="T629">
            <v>108260</v>
          </cell>
          <cell r="U629">
            <v>108190</v>
          </cell>
          <cell r="V629">
            <v>108260</v>
          </cell>
          <cell r="W629">
            <v>116870</v>
          </cell>
          <cell r="X629">
            <v>116870</v>
          </cell>
          <cell r="Y629">
            <v>116840</v>
          </cell>
          <cell r="Z629">
            <v>116840</v>
          </cell>
          <cell r="AA629">
            <v>111360</v>
          </cell>
          <cell r="AB629">
            <v>111380</v>
          </cell>
          <cell r="AC629">
            <v>111270</v>
          </cell>
          <cell r="AD629">
            <v>111290</v>
          </cell>
          <cell r="AE629">
            <v>110730</v>
          </cell>
          <cell r="AF629">
            <v>110740</v>
          </cell>
          <cell r="AG629">
            <v>110710</v>
          </cell>
          <cell r="AH629">
            <v>110720</v>
          </cell>
        </row>
        <row r="630">
          <cell r="S630">
            <v>108200</v>
          </cell>
          <cell r="T630">
            <v>108200</v>
          </cell>
          <cell r="U630">
            <v>108190</v>
          </cell>
          <cell r="V630">
            <v>108190</v>
          </cell>
          <cell r="W630">
            <v>116850</v>
          </cell>
          <cell r="X630">
            <v>116890</v>
          </cell>
          <cell r="Y630">
            <v>116820</v>
          </cell>
          <cell r="Z630">
            <v>116890</v>
          </cell>
          <cell r="AA630">
            <v>111300</v>
          </cell>
          <cell r="AB630">
            <v>111410</v>
          </cell>
          <cell r="AC630">
            <v>111290</v>
          </cell>
          <cell r="AD630">
            <v>111400</v>
          </cell>
          <cell r="AE630">
            <v>110720</v>
          </cell>
          <cell r="AF630">
            <v>110730</v>
          </cell>
          <cell r="AG630">
            <v>110710</v>
          </cell>
          <cell r="AH630">
            <v>110720</v>
          </cell>
        </row>
        <row r="631">
          <cell r="S631">
            <v>108220</v>
          </cell>
          <cell r="T631">
            <v>108220</v>
          </cell>
          <cell r="U631">
            <v>108220</v>
          </cell>
          <cell r="V631">
            <v>108220</v>
          </cell>
          <cell r="W631">
            <v>116890</v>
          </cell>
          <cell r="X631">
            <v>116910</v>
          </cell>
          <cell r="Y631">
            <v>116860</v>
          </cell>
          <cell r="Z631">
            <v>116870</v>
          </cell>
          <cell r="AA631">
            <v>111400</v>
          </cell>
          <cell r="AB631">
            <v>111410</v>
          </cell>
          <cell r="AC631">
            <v>111300</v>
          </cell>
          <cell r="AD631">
            <v>111300</v>
          </cell>
          <cell r="AE631">
            <v>110720</v>
          </cell>
          <cell r="AF631">
            <v>110760</v>
          </cell>
          <cell r="AG631">
            <v>110720</v>
          </cell>
          <cell r="AH631">
            <v>110740</v>
          </cell>
        </row>
        <row r="632">
          <cell r="S632">
            <v>108260</v>
          </cell>
          <cell r="T632">
            <v>108260</v>
          </cell>
          <cell r="U632">
            <v>108260</v>
          </cell>
          <cell r="V632">
            <v>108260</v>
          </cell>
          <cell r="W632">
            <v>116870</v>
          </cell>
          <cell r="X632">
            <v>116890</v>
          </cell>
          <cell r="Y632">
            <v>116830</v>
          </cell>
          <cell r="Z632">
            <v>116830</v>
          </cell>
          <cell r="AA632">
            <v>111310</v>
          </cell>
          <cell r="AB632">
            <v>111370</v>
          </cell>
          <cell r="AC632">
            <v>111310</v>
          </cell>
          <cell r="AD632">
            <v>111320</v>
          </cell>
          <cell r="AE632">
            <v>110740</v>
          </cell>
          <cell r="AF632">
            <v>110780</v>
          </cell>
          <cell r="AG632">
            <v>110730</v>
          </cell>
          <cell r="AH632">
            <v>110770</v>
          </cell>
        </row>
        <row r="633">
          <cell r="S633">
            <v>108280</v>
          </cell>
          <cell r="T633">
            <v>108280</v>
          </cell>
          <cell r="U633">
            <v>108280</v>
          </cell>
          <cell r="V633">
            <v>108280</v>
          </cell>
          <cell r="W633">
            <v>116840</v>
          </cell>
          <cell r="X633">
            <v>116850</v>
          </cell>
          <cell r="Y633">
            <v>116780</v>
          </cell>
          <cell r="Z633">
            <v>116790</v>
          </cell>
          <cell r="AA633">
            <v>111310</v>
          </cell>
          <cell r="AB633">
            <v>111340</v>
          </cell>
          <cell r="AC633">
            <v>111270</v>
          </cell>
          <cell r="AD633">
            <v>111280</v>
          </cell>
          <cell r="AE633">
            <v>110780</v>
          </cell>
          <cell r="AF633">
            <v>110790</v>
          </cell>
          <cell r="AG633">
            <v>110750</v>
          </cell>
          <cell r="AH633">
            <v>110790</v>
          </cell>
        </row>
        <row r="634">
          <cell r="S634">
            <v>108220</v>
          </cell>
          <cell r="T634">
            <v>108220</v>
          </cell>
          <cell r="U634">
            <v>108220</v>
          </cell>
          <cell r="V634">
            <v>108220</v>
          </cell>
          <cell r="W634">
            <v>116790</v>
          </cell>
          <cell r="X634">
            <v>116830</v>
          </cell>
          <cell r="Y634">
            <v>116780</v>
          </cell>
          <cell r="Z634">
            <v>116790</v>
          </cell>
          <cell r="AA634">
            <v>111280</v>
          </cell>
          <cell r="AB634">
            <v>111290</v>
          </cell>
          <cell r="AC634">
            <v>111210</v>
          </cell>
          <cell r="AD634">
            <v>111210</v>
          </cell>
          <cell r="AE634">
            <v>110790</v>
          </cell>
          <cell r="AF634">
            <v>110800</v>
          </cell>
          <cell r="AG634">
            <v>110740</v>
          </cell>
          <cell r="AH634">
            <v>110750</v>
          </cell>
        </row>
        <row r="635">
          <cell r="S635">
            <v>108230</v>
          </cell>
          <cell r="T635">
            <v>108230</v>
          </cell>
          <cell r="U635">
            <v>108230</v>
          </cell>
          <cell r="V635">
            <v>108230</v>
          </cell>
          <cell r="W635">
            <v>116790</v>
          </cell>
          <cell r="X635">
            <v>116830</v>
          </cell>
          <cell r="Y635">
            <v>116790</v>
          </cell>
          <cell r="Z635">
            <v>116820</v>
          </cell>
          <cell r="AA635">
            <v>111230</v>
          </cell>
          <cell r="AB635">
            <v>111230</v>
          </cell>
          <cell r="AC635">
            <v>111180</v>
          </cell>
          <cell r="AD635">
            <v>111190</v>
          </cell>
          <cell r="AE635">
            <v>110750</v>
          </cell>
          <cell r="AF635">
            <v>110760</v>
          </cell>
          <cell r="AG635">
            <v>110730</v>
          </cell>
          <cell r="AH635">
            <v>110730</v>
          </cell>
        </row>
        <row r="636">
          <cell r="S636">
            <v>108230</v>
          </cell>
          <cell r="T636">
            <v>108230</v>
          </cell>
          <cell r="U636">
            <v>108230</v>
          </cell>
          <cell r="V636">
            <v>108230</v>
          </cell>
          <cell r="W636">
            <v>116810</v>
          </cell>
          <cell r="X636">
            <v>116820</v>
          </cell>
          <cell r="Y636">
            <v>116720</v>
          </cell>
          <cell r="Z636">
            <v>116760</v>
          </cell>
          <cell r="AA636">
            <v>111200</v>
          </cell>
          <cell r="AB636">
            <v>111250</v>
          </cell>
          <cell r="AC636">
            <v>111130</v>
          </cell>
          <cell r="AD636">
            <v>111250</v>
          </cell>
          <cell r="AE636">
            <v>110720</v>
          </cell>
          <cell r="AF636">
            <v>110740</v>
          </cell>
          <cell r="AG636">
            <v>110700</v>
          </cell>
          <cell r="AH636">
            <v>110700</v>
          </cell>
        </row>
        <row r="637">
          <cell r="S637">
            <v>108200</v>
          </cell>
          <cell r="T637">
            <v>108200</v>
          </cell>
          <cell r="U637">
            <v>108180</v>
          </cell>
          <cell r="V637">
            <v>108180</v>
          </cell>
          <cell r="W637">
            <v>116760</v>
          </cell>
          <cell r="X637">
            <v>116780</v>
          </cell>
          <cell r="Y637">
            <v>116710</v>
          </cell>
          <cell r="Z637">
            <v>116710</v>
          </cell>
          <cell r="AA637">
            <v>111240</v>
          </cell>
          <cell r="AB637">
            <v>111350</v>
          </cell>
          <cell r="AC637">
            <v>111200</v>
          </cell>
          <cell r="AD637">
            <v>111300</v>
          </cell>
          <cell r="AE637">
            <v>110710</v>
          </cell>
          <cell r="AF637">
            <v>110750</v>
          </cell>
          <cell r="AG637">
            <v>110680</v>
          </cell>
          <cell r="AH637">
            <v>110680</v>
          </cell>
        </row>
        <row r="638">
          <cell r="S638">
            <v>108230</v>
          </cell>
          <cell r="T638">
            <v>108230</v>
          </cell>
          <cell r="U638">
            <v>108230</v>
          </cell>
          <cell r="V638">
            <v>108230</v>
          </cell>
          <cell r="W638">
            <v>116720</v>
          </cell>
          <cell r="X638">
            <v>116750</v>
          </cell>
          <cell r="Y638">
            <v>116670</v>
          </cell>
          <cell r="Z638">
            <v>116730</v>
          </cell>
          <cell r="AA638">
            <v>111330</v>
          </cell>
          <cell r="AB638">
            <v>111340</v>
          </cell>
          <cell r="AC638">
            <v>111280</v>
          </cell>
          <cell r="AD638">
            <v>111290</v>
          </cell>
          <cell r="AE638">
            <v>110700</v>
          </cell>
          <cell r="AF638">
            <v>110700</v>
          </cell>
          <cell r="AG638">
            <v>110650</v>
          </cell>
          <cell r="AH638">
            <v>110670</v>
          </cell>
        </row>
        <row r="639">
          <cell r="S639">
            <v>108300</v>
          </cell>
          <cell r="T639">
            <v>108310</v>
          </cell>
          <cell r="U639">
            <v>108300</v>
          </cell>
          <cell r="V639">
            <v>108300</v>
          </cell>
          <cell r="W639">
            <v>116730</v>
          </cell>
          <cell r="X639">
            <v>116740</v>
          </cell>
          <cell r="Y639">
            <v>116700</v>
          </cell>
          <cell r="Z639">
            <v>116710</v>
          </cell>
          <cell r="AA639">
            <v>111280</v>
          </cell>
          <cell r="AB639">
            <v>111330</v>
          </cell>
          <cell r="AC639">
            <v>111280</v>
          </cell>
          <cell r="AD639">
            <v>111290</v>
          </cell>
          <cell r="AE639">
            <v>110680</v>
          </cell>
          <cell r="AF639">
            <v>110700</v>
          </cell>
          <cell r="AG639">
            <v>110670</v>
          </cell>
          <cell r="AH639">
            <v>110680</v>
          </cell>
        </row>
        <row r="640">
          <cell r="S640">
            <v>108300</v>
          </cell>
          <cell r="T640">
            <v>108300</v>
          </cell>
          <cell r="U640">
            <v>108280</v>
          </cell>
          <cell r="V640">
            <v>108280</v>
          </cell>
          <cell r="W640">
            <v>116730</v>
          </cell>
          <cell r="X640">
            <v>116730</v>
          </cell>
          <cell r="Y640">
            <v>116690</v>
          </cell>
          <cell r="Z640">
            <v>116710</v>
          </cell>
          <cell r="AA640">
            <v>111290</v>
          </cell>
          <cell r="AB640">
            <v>111310</v>
          </cell>
          <cell r="AC640">
            <v>111280</v>
          </cell>
          <cell r="AD640">
            <v>111300</v>
          </cell>
          <cell r="AE640">
            <v>110700</v>
          </cell>
          <cell r="AF640">
            <v>110700</v>
          </cell>
          <cell r="AG640">
            <v>110670</v>
          </cell>
          <cell r="AH640">
            <v>110680</v>
          </cell>
        </row>
        <row r="641">
          <cell r="S641">
            <v>108300</v>
          </cell>
          <cell r="T641">
            <v>108300</v>
          </cell>
          <cell r="U641">
            <v>108300</v>
          </cell>
          <cell r="V641">
            <v>108300</v>
          </cell>
          <cell r="W641">
            <v>116720</v>
          </cell>
          <cell r="X641">
            <v>116740</v>
          </cell>
          <cell r="Y641">
            <v>116720</v>
          </cell>
          <cell r="Z641">
            <v>116730</v>
          </cell>
          <cell r="AA641">
            <v>111300</v>
          </cell>
          <cell r="AB641">
            <v>111340</v>
          </cell>
          <cell r="AC641">
            <v>111280</v>
          </cell>
          <cell r="AD641">
            <v>111340</v>
          </cell>
          <cell r="AE641">
            <v>110680</v>
          </cell>
          <cell r="AF641">
            <v>110710</v>
          </cell>
          <cell r="AG641">
            <v>110670</v>
          </cell>
          <cell r="AH641">
            <v>110690</v>
          </cell>
        </row>
        <row r="642">
          <cell r="S642">
            <v>108330</v>
          </cell>
          <cell r="T642">
            <v>108330</v>
          </cell>
          <cell r="U642">
            <v>108330</v>
          </cell>
          <cell r="V642">
            <v>108330</v>
          </cell>
          <cell r="W642">
            <v>116730</v>
          </cell>
          <cell r="X642">
            <v>116750</v>
          </cell>
          <cell r="Y642">
            <v>116700</v>
          </cell>
          <cell r="Z642">
            <v>116720</v>
          </cell>
          <cell r="AA642">
            <v>111320</v>
          </cell>
          <cell r="AB642">
            <v>111350</v>
          </cell>
          <cell r="AC642">
            <v>111260</v>
          </cell>
          <cell r="AD642">
            <v>111310</v>
          </cell>
          <cell r="AE642">
            <v>110680</v>
          </cell>
          <cell r="AF642">
            <v>110720</v>
          </cell>
          <cell r="AG642">
            <v>110670</v>
          </cell>
          <cell r="AH642">
            <v>110700</v>
          </cell>
        </row>
        <row r="643">
          <cell r="S643">
            <v>108330</v>
          </cell>
          <cell r="T643">
            <v>108330</v>
          </cell>
          <cell r="U643">
            <v>108290</v>
          </cell>
          <cell r="V643">
            <v>108290</v>
          </cell>
          <cell r="W643">
            <v>116710</v>
          </cell>
          <cell r="X643">
            <v>116730</v>
          </cell>
          <cell r="Y643">
            <v>116700</v>
          </cell>
          <cell r="Z643">
            <v>116700</v>
          </cell>
          <cell r="AA643">
            <v>111320</v>
          </cell>
          <cell r="AB643">
            <v>111350</v>
          </cell>
          <cell r="AC643">
            <v>111310</v>
          </cell>
          <cell r="AD643">
            <v>111340</v>
          </cell>
          <cell r="AE643">
            <v>110700</v>
          </cell>
          <cell r="AF643">
            <v>110740</v>
          </cell>
          <cell r="AG643">
            <v>110690</v>
          </cell>
          <cell r="AH643">
            <v>110730</v>
          </cell>
        </row>
        <row r="644">
          <cell r="S644">
            <v>108340</v>
          </cell>
          <cell r="T644">
            <v>108340</v>
          </cell>
          <cell r="U644">
            <v>108340</v>
          </cell>
          <cell r="V644">
            <v>108340</v>
          </cell>
          <cell r="W644">
            <v>116700</v>
          </cell>
          <cell r="X644">
            <v>116710</v>
          </cell>
          <cell r="Y644">
            <v>116690</v>
          </cell>
          <cell r="Z644">
            <v>116690</v>
          </cell>
          <cell r="AA644">
            <v>111350</v>
          </cell>
          <cell r="AB644">
            <v>111360</v>
          </cell>
          <cell r="AC644">
            <v>111270</v>
          </cell>
          <cell r="AD644">
            <v>111280</v>
          </cell>
          <cell r="AE644">
            <v>110740</v>
          </cell>
          <cell r="AF644">
            <v>110780</v>
          </cell>
          <cell r="AG644">
            <v>110740</v>
          </cell>
          <cell r="AH644">
            <v>110760</v>
          </cell>
        </row>
        <row r="645">
          <cell r="S645">
            <v>108340</v>
          </cell>
          <cell r="T645">
            <v>108350</v>
          </cell>
          <cell r="U645">
            <v>108310</v>
          </cell>
          <cell r="V645">
            <v>108310</v>
          </cell>
          <cell r="W645">
            <v>116690</v>
          </cell>
          <cell r="X645">
            <v>116730</v>
          </cell>
          <cell r="Y645">
            <v>116680</v>
          </cell>
          <cell r="Z645">
            <v>116730</v>
          </cell>
          <cell r="AA645">
            <v>111270</v>
          </cell>
          <cell r="AB645">
            <v>111320</v>
          </cell>
          <cell r="AC645">
            <v>111270</v>
          </cell>
          <cell r="AD645">
            <v>111280</v>
          </cell>
          <cell r="AE645">
            <v>110750</v>
          </cell>
          <cell r="AF645">
            <v>110790</v>
          </cell>
          <cell r="AG645">
            <v>110740</v>
          </cell>
          <cell r="AH645">
            <v>110750</v>
          </cell>
        </row>
        <row r="646">
          <cell r="S646">
            <v>108370</v>
          </cell>
          <cell r="T646">
            <v>108380</v>
          </cell>
          <cell r="U646">
            <v>108310</v>
          </cell>
          <cell r="V646">
            <v>108310</v>
          </cell>
          <cell r="W646">
            <v>116740</v>
          </cell>
          <cell r="X646">
            <v>116740</v>
          </cell>
          <cell r="Y646">
            <v>116710</v>
          </cell>
          <cell r="Z646">
            <v>116710</v>
          </cell>
          <cell r="AA646">
            <v>111280</v>
          </cell>
          <cell r="AB646">
            <v>111300</v>
          </cell>
          <cell r="AC646">
            <v>111280</v>
          </cell>
          <cell r="AD646">
            <v>111300</v>
          </cell>
          <cell r="AE646">
            <v>110760</v>
          </cell>
          <cell r="AF646">
            <v>110770</v>
          </cell>
          <cell r="AG646">
            <v>110760</v>
          </cell>
          <cell r="AH646">
            <v>110760</v>
          </cell>
        </row>
        <row r="647">
          <cell r="W647">
            <v>116710</v>
          </cell>
          <cell r="X647">
            <v>116760</v>
          </cell>
          <cell r="Y647">
            <v>116700</v>
          </cell>
          <cell r="Z647">
            <v>116750</v>
          </cell>
          <cell r="AA647">
            <v>111300</v>
          </cell>
          <cell r="AB647">
            <v>111330</v>
          </cell>
          <cell r="AC647">
            <v>111180</v>
          </cell>
          <cell r="AD647">
            <v>111200</v>
          </cell>
          <cell r="AE647">
            <v>110750</v>
          </cell>
          <cell r="AF647">
            <v>110800</v>
          </cell>
          <cell r="AG647">
            <v>110740</v>
          </cell>
          <cell r="AH647">
            <v>110780</v>
          </cell>
        </row>
        <row r="648">
          <cell r="W648">
            <v>116740</v>
          </cell>
          <cell r="X648">
            <v>116750</v>
          </cell>
          <cell r="Y648">
            <v>116720</v>
          </cell>
          <cell r="Z648">
            <v>116750</v>
          </cell>
          <cell r="AA648">
            <v>111190</v>
          </cell>
          <cell r="AB648">
            <v>111190</v>
          </cell>
          <cell r="AC648">
            <v>111060</v>
          </cell>
          <cell r="AD648">
            <v>111090</v>
          </cell>
          <cell r="AE648">
            <v>110780</v>
          </cell>
          <cell r="AF648">
            <v>110800</v>
          </cell>
          <cell r="AG648">
            <v>110750</v>
          </cell>
          <cell r="AH648">
            <v>110770</v>
          </cell>
        </row>
        <row r="649">
          <cell r="W649">
            <v>116740</v>
          </cell>
          <cell r="X649">
            <v>116750</v>
          </cell>
          <cell r="Y649">
            <v>116720</v>
          </cell>
          <cell r="Z649">
            <v>116740</v>
          </cell>
          <cell r="AA649">
            <v>111070</v>
          </cell>
          <cell r="AB649">
            <v>111120</v>
          </cell>
          <cell r="AC649">
            <v>111020</v>
          </cell>
          <cell r="AD649">
            <v>111100</v>
          </cell>
          <cell r="AE649">
            <v>110770</v>
          </cell>
          <cell r="AF649">
            <v>110790</v>
          </cell>
          <cell r="AG649">
            <v>110750</v>
          </cell>
          <cell r="AH649">
            <v>110790</v>
          </cell>
        </row>
        <row r="650">
          <cell r="W650">
            <v>116740</v>
          </cell>
          <cell r="X650">
            <v>116740</v>
          </cell>
          <cell r="Y650">
            <v>116720</v>
          </cell>
          <cell r="Z650">
            <v>116730</v>
          </cell>
          <cell r="AA650">
            <v>111110</v>
          </cell>
          <cell r="AB650">
            <v>111150</v>
          </cell>
          <cell r="AC650">
            <v>111100</v>
          </cell>
          <cell r="AD650">
            <v>111140</v>
          </cell>
          <cell r="AE650">
            <v>110780</v>
          </cell>
          <cell r="AF650">
            <v>110800</v>
          </cell>
          <cell r="AG650">
            <v>110760</v>
          </cell>
          <cell r="AH650">
            <v>110760</v>
          </cell>
        </row>
        <row r="651">
          <cell r="W651">
            <v>116740</v>
          </cell>
          <cell r="X651">
            <v>116800</v>
          </cell>
          <cell r="Y651">
            <v>116730</v>
          </cell>
          <cell r="Z651">
            <v>116780</v>
          </cell>
          <cell r="AA651">
            <v>111150</v>
          </cell>
          <cell r="AB651">
            <v>111180</v>
          </cell>
          <cell r="AC651">
            <v>111130</v>
          </cell>
          <cell r="AD651">
            <v>111160</v>
          </cell>
          <cell r="AE651">
            <v>110760</v>
          </cell>
          <cell r="AF651">
            <v>110780</v>
          </cell>
          <cell r="AG651">
            <v>110740</v>
          </cell>
          <cell r="AH651">
            <v>110750</v>
          </cell>
        </row>
        <row r="652">
          <cell r="W652">
            <v>116790</v>
          </cell>
          <cell r="X652">
            <v>116820</v>
          </cell>
          <cell r="Y652">
            <v>116750</v>
          </cell>
          <cell r="Z652">
            <v>116770</v>
          </cell>
          <cell r="AA652">
            <v>111160</v>
          </cell>
          <cell r="AB652">
            <v>111260</v>
          </cell>
          <cell r="AC652">
            <v>111160</v>
          </cell>
          <cell r="AD652">
            <v>111180</v>
          </cell>
          <cell r="AE652">
            <v>110770</v>
          </cell>
          <cell r="AF652">
            <v>110800</v>
          </cell>
          <cell r="AG652">
            <v>110750</v>
          </cell>
          <cell r="AH652">
            <v>110780</v>
          </cell>
        </row>
        <row r="653">
          <cell r="W653">
            <v>116770</v>
          </cell>
          <cell r="X653">
            <v>116790</v>
          </cell>
          <cell r="Y653">
            <v>116760</v>
          </cell>
          <cell r="Z653">
            <v>116760</v>
          </cell>
          <cell r="AA653">
            <v>111180</v>
          </cell>
          <cell r="AB653">
            <v>111190</v>
          </cell>
          <cell r="AC653">
            <v>111100</v>
          </cell>
          <cell r="AD653">
            <v>111140</v>
          </cell>
          <cell r="AE653">
            <v>110790</v>
          </cell>
          <cell r="AF653">
            <v>110800</v>
          </cell>
          <cell r="AG653">
            <v>110760</v>
          </cell>
          <cell r="AH653">
            <v>110770</v>
          </cell>
        </row>
        <row r="654">
          <cell r="W654">
            <v>116770</v>
          </cell>
          <cell r="X654">
            <v>116810</v>
          </cell>
          <cell r="Y654">
            <v>116760</v>
          </cell>
          <cell r="Z654">
            <v>116790</v>
          </cell>
          <cell r="AA654">
            <v>111140</v>
          </cell>
          <cell r="AB654">
            <v>111220</v>
          </cell>
          <cell r="AC654">
            <v>111120</v>
          </cell>
          <cell r="AD654">
            <v>111120</v>
          </cell>
          <cell r="AE654">
            <v>110770</v>
          </cell>
          <cell r="AF654">
            <v>110770</v>
          </cell>
          <cell r="AG654">
            <v>110710</v>
          </cell>
          <cell r="AH654">
            <v>110710</v>
          </cell>
        </row>
        <row r="655">
          <cell r="W655">
            <v>116820</v>
          </cell>
          <cell r="X655">
            <v>116820</v>
          </cell>
          <cell r="Y655">
            <v>116770</v>
          </cell>
          <cell r="Z655">
            <v>116780</v>
          </cell>
          <cell r="AA655">
            <v>111130</v>
          </cell>
          <cell r="AB655">
            <v>111200</v>
          </cell>
          <cell r="AC655">
            <v>111120</v>
          </cell>
          <cell r="AD655">
            <v>111130</v>
          </cell>
          <cell r="AE655">
            <v>110720</v>
          </cell>
          <cell r="AF655">
            <v>110730</v>
          </cell>
          <cell r="AG655">
            <v>110690</v>
          </cell>
          <cell r="AH655">
            <v>110720</v>
          </cell>
        </row>
        <row r="656">
          <cell r="W656">
            <v>116790</v>
          </cell>
          <cell r="X656">
            <v>116820</v>
          </cell>
          <cell r="Y656">
            <v>116780</v>
          </cell>
          <cell r="Z656">
            <v>116820</v>
          </cell>
          <cell r="AA656">
            <v>111110</v>
          </cell>
          <cell r="AB656">
            <v>111210</v>
          </cell>
          <cell r="AC656">
            <v>111100</v>
          </cell>
          <cell r="AD656">
            <v>111140</v>
          </cell>
          <cell r="AE656">
            <v>110730</v>
          </cell>
          <cell r="AF656">
            <v>110730</v>
          </cell>
          <cell r="AG656">
            <v>110710</v>
          </cell>
          <cell r="AH656">
            <v>110710</v>
          </cell>
        </row>
        <row r="657">
          <cell r="W657">
            <v>116810</v>
          </cell>
          <cell r="X657">
            <v>116820</v>
          </cell>
          <cell r="Y657">
            <v>116790</v>
          </cell>
          <cell r="Z657">
            <v>116810</v>
          </cell>
          <cell r="AA657">
            <v>111140</v>
          </cell>
          <cell r="AB657">
            <v>111230</v>
          </cell>
          <cell r="AC657">
            <v>111100</v>
          </cell>
          <cell r="AD657">
            <v>111210</v>
          </cell>
          <cell r="AE657">
            <v>110720</v>
          </cell>
          <cell r="AF657">
            <v>110720</v>
          </cell>
          <cell r="AG657">
            <v>110640</v>
          </cell>
          <cell r="AH657">
            <v>110670</v>
          </cell>
        </row>
        <row r="658">
          <cell r="W658">
            <v>116810</v>
          </cell>
          <cell r="X658">
            <v>116810</v>
          </cell>
          <cell r="Y658">
            <v>116760</v>
          </cell>
          <cell r="Z658">
            <v>116760</v>
          </cell>
          <cell r="AA658">
            <v>111200</v>
          </cell>
          <cell r="AB658">
            <v>111220</v>
          </cell>
          <cell r="AC658">
            <v>111170</v>
          </cell>
          <cell r="AD658">
            <v>111180</v>
          </cell>
          <cell r="AE658">
            <v>110680</v>
          </cell>
          <cell r="AF658">
            <v>110700</v>
          </cell>
          <cell r="AG658">
            <v>110660</v>
          </cell>
          <cell r="AH658">
            <v>110690</v>
          </cell>
        </row>
        <row r="659">
          <cell r="W659">
            <v>116770</v>
          </cell>
          <cell r="X659">
            <v>116770</v>
          </cell>
          <cell r="Y659">
            <v>116760</v>
          </cell>
          <cell r="Z659">
            <v>116760</v>
          </cell>
          <cell r="AA659">
            <v>111170</v>
          </cell>
          <cell r="AB659">
            <v>111200</v>
          </cell>
          <cell r="AC659">
            <v>111120</v>
          </cell>
          <cell r="AD659">
            <v>111200</v>
          </cell>
          <cell r="AE659">
            <v>110680</v>
          </cell>
          <cell r="AF659">
            <v>110710</v>
          </cell>
          <cell r="AG659">
            <v>110660</v>
          </cell>
          <cell r="AH659">
            <v>110660</v>
          </cell>
        </row>
        <row r="660">
          <cell r="W660">
            <v>116750</v>
          </cell>
          <cell r="X660">
            <v>116780</v>
          </cell>
          <cell r="Y660">
            <v>116750</v>
          </cell>
          <cell r="Z660">
            <v>116770</v>
          </cell>
          <cell r="AA660">
            <v>111190</v>
          </cell>
          <cell r="AB660">
            <v>111220</v>
          </cell>
          <cell r="AC660">
            <v>111140</v>
          </cell>
          <cell r="AD660">
            <v>111150</v>
          </cell>
          <cell r="AE660">
            <v>110650</v>
          </cell>
          <cell r="AF660">
            <v>110660</v>
          </cell>
          <cell r="AG660">
            <v>110620</v>
          </cell>
          <cell r="AH660">
            <v>110650</v>
          </cell>
        </row>
        <row r="661">
          <cell r="W661">
            <v>116780</v>
          </cell>
          <cell r="X661">
            <v>116790</v>
          </cell>
          <cell r="Y661">
            <v>116780</v>
          </cell>
          <cell r="Z661">
            <v>116780</v>
          </cell>
          <cell r="AA661">
            <v>111140</v>
          </cell>
          <cell r="AB661">
            <v>111170</v>
          </cell>
          <cell r="AC661">
            <v>111070</v>
          </cell>
          <cell r="AD661">
            <v>111110</v>
          </cell>
          <cell r="AE661">
            <v>110650</v>
          </cell>
          <cell r="AF661">
            <v>110660</v>
          </cell>
          <cell r="AG661">
            <v>110630</v>
          </cell>
          <cell r="AH661">
            <v>110650</v>
          </cell>
        </row>
        <row r="662">
          <cell r="W662">
            <v>116770</v>
          </cell>
          <cell r="X662">
            <v>116800</v>
          </cell>
          <cell r="Y662">
            <v>116770</v>
          </cell>
          <cell r="Z662">
            <v>116790</v>
          </cell>
          <cell r="AA662">
            <v>111110</v>
          </cell>
          <cell r="AB662">
            <v>111130</v>
          </cell>
          <cell r="AC662">
            <v>111050</v>
          </cell>
          <cell r="AD662">
            <v>111090</v>
          </cell>
          <cell r="AE662">
            <v>110630</v>
          </cell>
          <cell r="AF662">
            <v>110680</v>
          </cell>
          <cell r="AG662">
            <v>110630</v>
          </cell>
          <cell r="AH662">
            <v>110630</v>
          </cell>
        </row>
        <row r="663">
          <cell r="W663">
            <v>116800</v>
          </cell>
          <cell r="X663">
            <v>116820</v>
          </cell>
          <cell r="Y663">
            <v>116770</v>
          </cell>
          <cell r="Z663">
            <v>116800</v>
          </cell>
          <cell r="AA663">
            <v>111080</v>
          </cell>
          <cell r="AB663">
            <v>111090</v>
          </cell>
          <cell r="AC663">
            <v>111060</v>
          </cell>
          <cell r="AD663">
            <v>111080</v>
          </cell>
          <cell r="AE663">
            <v>110650</v>
          </cell>
          <cell r="AF663">
            <v>110670</v>
          </cell>
          <cell r="AG663">
            <v>110650</v>
          </cell>
          <cell r="AH663">
            <v>110650</v>
          </cell>
        </row>
        <row r="664">
          <cell r="W664">
            <v>116800</v>
          </cell>
          <cell r="X664">
            <v>116820</v>
          </cell>
          <cell r="Y664">
            <v>116770</v>
          </cell>
          <cell r="Z664">
            <v>116770</v>
          </cell>
          <cell r="AA664">
            <v>111070</v>
          </cell>
          <cell r="AB664">
            <v>111120</v>
          </cell>
          <cell r="AC664">
            <v>111050</v>
          </cell>
          <cell r="AD664">
            <v>111090</v>
          </cell>
          <cell r="AE664">
            <v>110650</v>
          </cell>
          <cell r="AF664">
            <v>110690</v>
          </cell>
          <cell r="AG664">
            <v>110650</v>
          </cell>
          <cell r="AH664">
            <v>110680</v>
          </cell>
        </row>
        <row r="665">
          <cell r="W665">
            <v>116770</v>
          </cell>
          <cell r="X665">
            <v>116780</v>
          </cell>
          <cell r="Y665">
            <v>116760</v>
          </cell>
          <cell r="Z665">
            <v>116780</v>
          </cell>
          <cell r="AA665">
            <v>111090</v>
          </cell>
          <cell r="AB665">
            <v>111090</v>
          </cell>
          <cell r="AC665">
            <v>110950</v>
          </cell>
          <cell r="AD665">
            <v>111040</v>
          </cell>
          <cell r="AE665">
            <v>110680</v>
          </cell>
          <cell r="AF665">
            <v>110710</v>
          </cell>
          <cell r="AG665">
            <v>110670</v>
          </cell>
          <cell r="AH665">
            <v>110680</v>
          </cell>
        </row>
        <row r="666">
          <cell r="W666">
            <v>116770</v>
          </cell>
          <cell r="X666">
            <v>116830</v>
          </cell>
          <cell r="Y666">
            <v>116760</v>
          </cell>
          <cell r="Z666">
            <v>116810</v>
          </cell>
          <cell r="AA666">
            <v>111040</v>
          </cell>
          <cell r="AB666">
            <v>111090</v>
          </cell>
          <cell r="AC666">
            <v>111020</v>
          </cell>
          <cell r="AD666">
            <v>111080</v>
          </cell>
          <cell r="AE666">
            <v>110660</v>
          </cell>
          <cell r="AF666">
            <v>110670</v>
          </cell>
          <cell r="AG666">
            <v>110640</v>
          </cell>
          <cell r="AH666">
            <v>110650</v>
          </cell>
        </row>
        <row r="667">
          <cell r="W667">
            <v>116800</v>
          </cell>
          <cell r="X667">
            <v>116820</v>
          </cell>
          <cell r="Y667">
            <v>116790</v>
          </cell>
          <cell r="Z667">
            <v>116820</v>
          </cell>
          <cell r="AA667">
            <v>111080</v>
          </cell>
          <cell r="AB667">
            <v>111080</v>
          </cell>
          <cell r="AC667">
            <v>111030</v>
          </cell>
          <cell r="AD667">
            <v>111060</v>
          </cell>
          <cell r="AE667">
            <v>110630</v>
          </cell>
          <cell r="AF667">
            <v>110680</v>
          </cell>
          <cell r="AG667">
            <v>110630</v>
          </cell>
          <cell r="AH667">
            <v>110650</v>
          </cell>
        </row>
        <row r="668">
          <cell r="W668">
            <v>116830</v>
          </cell>
          <cell r="X668">
            <v>116880</v>
          </cell>
          <cell r="Y668">
            <v>116810</v>
          </cell>
          <cell r="Z668">
            <v>116810</v>
          </cell>
          <cell r="AA668">
            <v>111060</v>
          </cell>
          <cell r="AB668">
            <v>111070</v>
          </cell>
          <cell r="AC668">
            <v>111000</v>
          </cell>
          <cell r="AD668">
            <v>111000</v>
          </cell>
          <cell r="AE668">
            <v>110650</v>
          </cell>
          <cell r="AF668">
            <v>110690</v>
          </cell>
          <cell r="AG668">
            <v>110650</v>
          </cell>
          <cell r="AH668">
            <v>110650</v>
          </cell>
        </row>
        <row r="669">
          <cell r="W669">
            <v>116800</v>
          </cell>
          <cell r="X669">
            <v>116830</v>
          </cell>
          <cell r="Y669">
            <v>116790</v>
          </cell>
          <cell r="Z669">
            <v>116830</v>
          </cell>
          <cell r="AA669">
            <v>111010</v>
          </cell>
          <cell r="AB669">
            <v>111010</v>
          </cell>
          <cell r="AC669">
            <v>110960</v>
          </cell>
          <cell r="AD669">
            <v>110960</v>
          </cell>
          <cell r="AE669">
            <v>110640</v>
          </cell>
          <cell r="AF669">
            <v>110660</v>
          </cell>
          <cell r="AG669">
            <v>110630</v>
          </cell>
          <cell r="AH669">
            <v>110630</v>
          </cell>
        </row>
        <row r="670">
          <cell r="W670">
            <v>116820</v>
          </cell>
          <cell r="X670">
            <v>116830</v>
          </cell>
          <cell r="Y670">
            <v>116780</v>
          </cell>
          <cell r="Z670">
            <v>116780</v>
          </cell>
          <cell r="AA670">
            <v>110970</v>
          </cell>
          <cell r="AB670">
            <v>111020</v>
          </cell>
          <cell r="AC670">
            <v>110960</v>
          </cell>
          <cell r="AD670">
            <v>111010</v>
          </cell>
          <cell r="AE670">
            <v>110650</v>
          </cell>
          <cell r="AF670">
            <v>110670</v>
          </cell>
          <cell r="AG670">
            <v>110640</v>
          </cell>
          <cell r="AH670">
            <v>110650</v>
          </cell>
        </row>
        <row r="671">
          <cell r="W671">
            <v>116790</v>
          </cell>
          <cell r="X671">
            <v>116800</v>
          </cell>
          <cell r="Y671">
            <v>116770</v>
          </cell>
          <cell r="Z671">
            <v>116800</v>
          </cell>
          <cell r="AA671">
            <v>111010</v>
          </cell>
          <cell r="AB671">
            <v>111070</v>
          </cell>
          <cell r="AC671">
            <v>111010</v>
          </cell>
          <cell r="AD671">
            <v>111070</v>
          </cell>
          <cell r="AE671">
            <v>110640</v>
          </cell>
          <cell r="AF671">
            <v>110640</v>
          </cell>
          <cell r="AG671">
            <v>110560</v>
          </cell>
          <cell r="AH671">
            <v>110560</v>
          </cell>
        </row>
        <row r="672">
          <cell r="W672">
            <v>116800</v>
          </cell>
          <cell r="X672">
            <v>116830</v>
          </cell>
          <cell r="Y672">
            <v>116790</v>
          </cell>
          <cell r="Z672">
            <v>116810</v>
          </cell>
          <cell r="AA672">
            <v>111050</v>
          </cell>
          <cell r="AB672">
            <v>111120</v>
          </cell>
          <cell r="AC672">
            <v>111020</v>
          </cell>
          <cell r="AD672">
            <v>111090</v>
          </cell>
          <cell r="AE672">
            <v>110560</v>
          </cell>
          <cell r="AF672">
            <v>110640</v>
          </cell>
          <cell r="AG672">
            <v>110550</v>
          </cell>
          <cell r="AH672">
            <v>110630</v>
          </cell>
        </row>
        <row r="673">
          <cell r="W673">
            <v>116820</v>
          </cell>
          <cell r="X673">
            <v>116840</v>
          </cell>
          <cell r="Y673">
            <v>116810</v>
          </cell>
          <cell r="Z673">
            <v>116820</v>
          </cell>
          <cell r="AA673">
            <v>111100</v>
          </cell>
          <cell r="AB673">
            <v>111130</v>
          </cell>
          <cell r="AC673">
            <v>111070</v>
          </cell>
          <cell r="AD673">
            <v>111130</v>
          </cell>
          <cell r="AE673">
            <v>110620</v>
          </cell>
          <cell r="AF673">
            <v>110650</v>
          </cell>
          <cell r="AG673">
            <v>110620</v>
          </cell>
          <cell r="AH673">
            <v>110630</v>
          </cell>
        </row>
        <row r="674">
          <cell r="W674">
            <v>116820</v>
          </cell>
          <cell r="X674">
            <v>116850</v>
          </cell>
          <cell r="Y674">
            <v>116810</v>
          </cell>
          <cell r="Z674">
            <v>116830</v>
          </cell>
          <cell r="AA674">
            <v>111130</v>
          </cell>
          <cell r="AB674">
            <v>111130</v>
          </cell>
          <cell r="AC674">
            <v>111090</v>
          </cell>
          <cell r="AD674">
            <v>111100</v>
          </cell>
          <cell r="AE674">
            <v>110640</v>
          </cell>
          <cell r="AF674">
            <v>110680</v>
          </cell>
          <cell r="AG674">
            <v>110640</v>
          </cell>
          <cell r="AH674">
            <v>110660</v>
          </cell>
        </row>
        <row r="675">
          <cell r="W675">
            <v>116830</v>
          </cell>
          <cell r="X675">
            <v>116850</v>
          </cell>
          <cell r="Y675">
            <v>116830</v>
          </cell>
          <cell r="Z675">
            <v>116840</v>
          </cell>
          <cell r="AA675">
            <v>111090</v>
          </cell>
          <cell r="AB675">
            <v>111120</v>
          </cell>
          <cell r="AC675">
            <v>111080</v>
          </cell>
          <cell r="AD675">
            <v>111080</v>
          </cell>
          <cell r="AE675">
            <v>110670</v>
          </cell>
          <cell r="AF675">
            <v>110700</v>
          </cell>
          <cell r="AG675">
            <v>110660</v>
          </cell>
          <cell r="AH675">
            <v>110680</v>
          </cell>
        </row>
        <row r="676">
          <cell r="W676">
            <v>116830</v>
          </cell>
          <cell r="X676">
            <v>116850</v>
          </cell>
          <cell r="Y676">
            <v>116820</v>
          </cell>
          <cell r="Z676">
            <v>116820</v>
          </cell>
          <cell r="AA676">
            <v>111080</v>
          </cell>
          <cell r="AB676">
            <v>111150</v>
          </cell>
          <cell r="AC676">
            <v>111080</v>
          </cell>
          <cell r="AD676">
            <v>111150</v>
          </cell>
          <cell r="AE676">
            <v>110690</v>
          </cell>
          <cell r="AF676">
            <v>110700</v>
          </cell>
          <cell r="AG676">
            <v>110670</v>
          </cell>
          <cell r="AH676">
            <v>110680</v>
          </cell>
        </row>
        <row r="677">
          <cell r="W677">
            <v>116820</v>
          </cell>
          <cell r="X677">
            <v>116830</v>
          </cell>
          <cell r="Y677">
            <v>116810</v>
          </cell>
          <cell r="Z677">
            <v>116830</v>
          </cell>
          <cell r="AA677">
            <v>111150</v>
          </cell>
          <cell r="AB677">
            <v>111170</v>
          </cell>
          <cell r="AC677">
            <v>111060</v>
          </cell>
          <cell r="AD677">
            <v>111070</v>
          </cell>
          <cell r="AE677">
            <v>110690</v>
          </cell>
          <cell r="AF677">
            <v>110720</v>
          </cell>
          <cell r="AG677">
            <v>110690</v>
          </cell>
          <cell r="AH677">
            <v>110720</v>
          </cell>
        </row>
        <row r="678">
          <cell r="W678">
            <v>116820</v>
          </cell>
          <cell r="X678">
            <v>116850</v>
          </cell>
          <cell r="Y678">
            <v>116820</v>
          </cell>
          <cell r="Z678">
            <v>116830</v>
          </cell>
          <cell r="AA678">
            <v>111080</v>
          </cell>
          <cell r="AB678">
            <v>111090</v>
          </cell>
          <cell r="AC678">
            <v>110990</v>
          </cell>
          <cell r="AD678">
            <v>111020</v>
          </cell>
          <cell r="AE678">
            <v>110720</v>
          </cell>
          <cell r="AF678">
            <v>110740</v>
          </cell>
          <cell r="AG678">
            <v>110690</v>
          </cell>
          <cell r="AH678">
            <v>110730</v>
          </cell>
        </row>
        <row r="679">
          <cell r="W679">
            <v>116840</v>
          </cell>
          <cell r="X679">
            <v>116840</v>
          </cell>
          <cell r="Y679">
            <v>116820</v>
          </cell>
          <cell r="Z679">
            <v>116820</v>
          </cell>
          <cell r="AA679">
            <v>111030</v>
          </cell>
          <cell r="AB679">
            <v>111030</v>
          </cell>
          <cell r="AC679">
            <v>111000</v>
          </cell>
          <cell r="AD679">
            <v>111020</v>
          </cell>
          <cell r="AE679">
            <v>110730</v>
          </cell>
          <cell r="AF679">
            <v>110740</v>
          </cell>
          <cell r="AG679">
            <v>110720</v>
          </cell>
          <cell r="AH679">
            <v>110730</v>
          </cell>
        </row>
        <row r="680">
          <cell r="W680">
            <v>116840</v>
          </cell>
          <cell r="X680">
            <v>116860</v>
          </cell>
          <cell r="Y680">
            <v>116840</v>
          </cell>
          <cell r="Z680">
            <v>116850</v>
          </cell>
          <cell r="AA680">
            <v>111020</v>
          </cell>
          <cell r="AB680">
            <v>111040</v>
          </cell>
          <cell r="AC680">
            <v>110990</v>
          </cell>
          <cell r="AD680">
            <v>111000</v>
          </cell>
          <cell r="AE680">
            <v>110750</v>
          </cell>
          <cell r="AF680">
            <v>110750</v>
          </cell>
          <cell r="AG680">
            <v>110730</v>
          </cell>
          <cell r="AH680">
            <v>110740</v>
          </cell>
        </row>
        <row r="681">
          <cell r="W681">
            <v>116850</v>
          </cell>
          <cell r="X681">
            <v>116860</v>
          </cell>
          <cell r="Y681">
            <v>116830</v>
          </cell>
          <cell r="Z681">
            <v>116830</v>
          </cell>
          <cell r="AA681">
            <v>111000</v>
          </cell>
          <cell r="AB681">
            <v>111000</v>
          </cell>
          <cell r="AC681">
            <v>110830</v>
          </cell>
          <cell r="AD681">
            <v>110880</v>
          </cell>
          <cell r="AE681">
            <v>110750</v>
          </cell>
          <cell r="AF681">
            <v>110770</v>
          </cell>
          <cell r="AG681">
            <v>110750</v>
          </cell>
          <cell r="AH681">
            <v>110760</v>
          </cell>
        </row>
        <row r="682">
          <cell r="W682">
            <v>116830</v>
          </cell>
          <cell r="X682">
            <v>116840</v>
          </cell>
          <cell r="Y682">
            <v>116820</v>
          </cell>
          <cell r="Z682">
            <v>116830</v>
          </cell>
          <cell r="AA682">
            <v>110880</v>
          </cell>
          <cell r="AB682">
            <v>110930</v>
          </cell>
          <cell r="AC682">
            <v>110860</v>
          </cell>
          <cell r="AD682">
            <v>110860</v>
          </cell>
          <cell r="AE682">
            <v>110770</v>
          </cell>
          <cell r="AF682">
            <v>110780</v>
          </cell>
          <cell r="AG682">
            <v>110750</v>
          </cell>
          <cell r="AH682">
            <v>110770</v>
          </cell>
        </row>
        <row r="683">
          <cell r="W683">
            <v>116830</v>
          </cell>
          <cell r="X683">
            <v>116850</v>
          </cell>
          <cell r="Y683">
            <v>116820</v>
          </cell>
          <cell r="Z683">
            <v>116830</v>
          </cell>
          <cell r="AA683">
            <v>110850</v>
          </cell>
          <cell r="AB683">
            <v>110910</v>
          </cell>
          <cell r="AC683">
            <v>110830</v>
          </cell>
          <cell r="AD683">
            <v>110880</v>
          </cell>
          <cell r="AE683">
            <v>110780</v>
          </cell>
          <cell r="AF683">
            <v>110790</v>
          </cell>
          <cell r="AG683">
            <v>110740</v>
          </cell>
          <cell r="AH683">
            <v>110770</v>
          </cell>
        </row>
        <row r="684">
          <cell r="W684">
            <v>116830</v>
          </cell>
          <cell r="X684">
            <v>116850</v>
          </cell>
          <cell r="Y684">
            <v>116810</v>
          </cell>
          <cell r="Z684">
            <v>116810</v>
          </cell>
          <cell r="AA684">
            <v>110880</v>
          </cell>
          <cell r="AB684">
            <v>110920</v>
          </cell>
          <cell r="AC684">
            <v>110880</v>
          </cell>
          <cell r="AD684">
            <v>110920</v>
          </cell>
          <cell r="AE684">
            <v>110760</v>
          </cell>
          <cell r="AF684">
            <v>110760</v>
          </cell>
          <cell r="AG684">
            <v>110720</v>
          </cell>
          <cell r="AH684">
            <v>110730</v>
          </cell>
        </row>
        <row r="685">
          <cell r="W685">
            <v>116810</v>
          </cell>
          <cell r="X685">
            <v>116830</v>
          </cell>
          <cell r="Y685">
            <v>116810</v>
          </cell>
          <cell r="Z685">
            <v>116830</v>
          </cell>
          <cell r="AA685">
            <v>110920</v>
          </cell>
          <cell r="AB685">
            <v>110940</v>
          </cell>
          <cell r="AC685">
            <v>110880</v>
          </cell>
          <cell r="AD685">
            <v>110900</v>
          </cell>
          <cell r="AE685">
            <v>110720</v>
          </cell>
          <cell r="AF685">
            <v>110730</v>
          </cell>
          <cell r="AG685">
            <v>110690</v>
          </cell>
          <cell r="AH685">
            <v>110700</v>
          </cell>
        </row>
        <row r="686">
          <cell r="W686">
            <v>116820</v>
          </cell>
          <cell r="X686">
            <v>116830</v>
          </cell>
          <cell r="Y686">
            <v>116800</v>
          </cell>
          <cell r="Z686">
            <v>116800</v>
          </cell>
          <cell r="AA686">
            <v>110900</v>
          </cell>
          <cell r="AB686">
            <v>110950</v>
          </cell>
          <cell r="AC686">
            <v>110900</v>
          </cell>
          <cell r="AD686">
            <v>110940</v>
          </cell>
          <cell r="AE686">
            <v>110710</v>
          </cell>
          <cell r="AF686">
            <v>110720</v>
          </cell>
          <cell r="AG686">
            <v>110700</v>
          </cell>
          <cell r="AH686">
            <v>110720</v>
          </cell>
        </row>
        <row r="687">
          <cell r="W687">
            <v>116810</v>
          </cell>
          <cell r="X687">
            <v>116810</v>
          </cell>
          <cell r="Y687">
            <v>116790</v>
          </cell>
          <cell r="Z687">
            <v>116800</v>
          </cell>
          <cell r="AA687">
            <v>110930</v>
          </cell>
          <cell r="AB687">
            <v>110950</v>
          </cell>
          <cell r="AC687">
            <v>110880</v>
          </cell>
          <cell r="AD687">
            <v>110950</v>
          </cell>
          <cell r="AE687">
            <v>110730</v>
          </cell>
          <cell r="AF687">
            <v>110740</v>
          </cell>
          <cell r="AG687">
            <v>110710</v>
          </cell>
          <cell r="AH687">
            <v>110740</v>
          </cell>
        </row>
        <row r="688">
          <cell r="W688">
            <v>116800</v>
          </cell>
          <cell r="X688">
            <v>116820</v>
          </cell>
          <cell r="Y688">
            <v>116790</v>
          </cell>
          <cell r="Z688">
            <v>116810</v>
          </cell>
          <cell r="AA688">
            <v>110950</v>
          </cell>
          <cell r="AB688">
            <v>111000</v>
          </cell>
          <cell r="AC688">
            <v>110920</v>
          </cell>
          <cell r="AD688">
            <v>111000</v>
          </cell>
          <cell r="AE688">
            <v>110730</v>
          </cell>
          <cell r="AF688">
            <v>110760</v>
          </cell>
          <cell r="AG688">
            <v>110730</v>
          </cell>
          <cell r="AH688">
            <v>110760</v>
          </cell>
        </row>
        <row r="689">
          <cell r="W689">
            <v>116830</v>
          </cell>
          <cell r="X689">
            <v>116830</v>
          </cell>
          <cell r="Y689">
            <v>116810</v>
          </cell>
          <cell r="Z689">
            <v>116820</v>
          </cell>
          <cell r="AA689">
            <v>111000</v>
          </cell>
          <cell r="AB689">
            <v>111000</v>
          </cell>
          <cell r="AC689">
            <v>110960</v>
          </cell>
          <cell r="AD689">
            <v>110990</v>
          </cell>
          <cell r="AE689">
            <v>110750</v>
          </cell>
          <cell r="AF689">
            <v>110760</v>
          </cell>
          <cell r="AG689">
            <v>110720</v>
          </cell>
          <cell r="AH689">
            <v>110730</v>
          </cell>
        </row>
        <row r="690">
          <cell r="W690">
            <v>116820</v>
          </cell>
          <cell r="X690">
            <v>116830</v>
          </cell>
          <cell r="Y690">
            <v>116810</v>
          </cell>
          <cell r="Z690">
            <v>116830</v>
          </cell>
          <cell r="AA690">
            <v>111000</v>
          </cell>
          <cell r="AB690">
            <v>111040</v>
          </cell>
          <cell r="AC690">
            <v>110970</v>
          </cell>
          <cell r="AD690">
            <v>111020</v>
          </cell>
          <cell r="AE690">
            <v>110750</v>
          </cell>
          <cell r="AF690">
            <v>110750</v>
          </cell>
          <cell r="AG690">
            <v>110720</v>
          </cell>
          <cell r="AH690">
            <v>110720</v>
          </cell>
        </row>
        <row r="691">
          <cell r="W691">
            <v>116820</v>
          </cell>
          <cell r="X691">
            <v>116830</v>
          </cell>
          <cell r="Y691">
            <v>116800</v>
          </cell>
          <cell r="Z691">
            <v>116810</v>
          </cell>
          <cell r="AA691">
            <v>111030</v>
          </cell>
          <cell r="AB691">
            <v>111050</v>
          </cell>
          <cell r="AC691">
            <v>111000</v>
          </cell>
          <cell r="AD691">
            <v>111010</v>
          </cell>
          <cell r="AE691">
            <v>110750</v>
          </cell>
          <cell r="AF691">
            <v>110760</v>
          </cell>
          <cell r="AG691">
            <v>110740</v>
          </cell>
          <cell r="AH691">
            <v>110760</v>
          </cell>
        </row>
        <row r="692">
          <cell r="W692">
            <v>116820</v>
          </cell>
          <cell r="X692">
            <v>116850</v>
          </cell>
          <cell r="Y692">
            <v>116810</v>
          </cell>
          <cell r="Z692">
            <v>116840</v>
          </cell>
          <cell r="AA692">
            <v>111010</v>
          </cell>
          <cell r="AB692">
            <v>111160</v>
          </cell>
          <cell r="AC692">
            <v>111010</v>
          </cell>
          <cell r="AD692">
            <v>111140</v>
          </cell>
          <cell r="AE692">
            <v>110750</v>
          </cell>
          <cell r="AF692">
            <v>110760</v>
          </cell>
          <cell r="AG692">
            <v>110740</v>
          </cell>
          <cell r="AH692">
            <v>110750</v>
          </cell>
        </row>
        <row r="693">
          <cell r="W693">
            <v>116840</v>
          </cell>
          <cell r="X693">
            <v>116850</v>
          </cell>
          <cell r="Y693">
            <v>116790</v>
          </cell>
          <cell r="Z693">
            <v>116790</v>
          </cell>
          <cell r="AA693">
            <v>111140</v>
          </cell>
          <cell r="AB693">
            <v>111220</v>
          </cell>
          <cell r="AC693">
            <v>111140</v>
          </cell>
          <cell r="AD693">
            <v>111170</v>
          </cell>
          <cell r="AE693">
            <v>110740</v>
          </cell>
          <cell r="AF693">
            <v>110750</v>
          </cell>
          <cell r="AG693">
            <v>110710</v>
          </cell>
          <cell r="AH693">
            <v>110720</v>
          </cell>
        </row>
        <row r="694">
          <cell r="W694">
            <v>116800</v>
          </cell>
          <cell r="X694">
            <v>116820</v>
          </cell>
          <cell r="Y694">
            <v>116800</v>
          </cell>
          <cell r="Z694">
            <v>116810</v>
          </cell>
          <cell r="AA694">
            <v>111170</v>
          </cell>
          <cell r="AB694">
            <v>111190</v>
          </cell>
          <cell r="AC694">
            <v>111140</v>
          </cell>
          <cell r="AD694">
            <v>111180</v>
          </cell>
          <cell r="AE694">
            <v>110710</v>
          </cell>
          <cell r="AF694">
            <v>110750</v>
          </cell>
          <cell r="AG694">
            <v>110710</v>
          </cell>
          <cell r="AH694">
            <v>110750</v>
          </cell>
        </row>
        <row r="695">
          <cell r="W695">
            <v>116800</v>
          </cell>
          <cell r="X695">
            <v>116810</v>
          </cell>
          <cell r="Y695">
            <v>116760</v>
          </cell>
          <cell r="Z695">
            <v>116800</v>
          </cell>
          <cell r="AA695">
            <v>111180</v>
          </cell>
          <cell r="AB695">
            <v>111210</v>
          </cell>
          <cell r="AC695">
            <v>111130</v>
          </cell>
          <cell r="AD695">
            <v>111150</v>
          </cell>
          <cell r="AE695">
            <v>110750</v>
          </cell>
          <cell r="AF695">
            <v>110750</v>
          </cell>
          <cell r="AG695">
            <v>110730</v>
          </cell>
          <cell r="AH695">
            <v>110740</v>
          </cell>
        </row>
        <row r="696">
          <cell r="W696">
            <v>116790</v>
          </cell>
          <cell r="X696">
            <v>116800</v>
          </cell>
          <cell r="Y696">
            <v>116780</v>
          </cell>
          <cell r="Z696">
            <v>116790</v>
          </cell>
          <cell r="AA696">
            <v>111130</v>
          </cell>
          <cell r="AB696">
            <v>111190</v>
          </cell>
          <cell r="AC696">
            <v>111110</v>
          </cell>
          <cell r="AD696">
            <v>111160</v>
          </cell>
          <cell r="AE696">
            <v>110740</v>
          </cell>
          <cell r="AF696">
            <v>110760</v>
          </cell>
          <cell r="AG696">
            <v>110730</v>
          </cell>
          <cell r="AH696">
            <v>110750</v>
          </cell>
        </row>
        <row r="697">
          <cell r="W697">
            <v>116780</v>
          </cell>
          <cell r="X697">
            <v>116790</v>
          </cell>
          <cell r="Y697">
            <v>116760</v>
          </cell>
          <cell r="Z697">
            <v>116770</v>
          </cell>
          <cell r="AA697">
            <v>111150</v>
          </cell>
          <cell r="AB697">
            <v>111160</v>
          </cell>
          <cell r="AC697">
            <v>111070</v>
          </cell>
          <cell r="AD697">
            <v>111080</v>
          </cell>
          <cell r="AE697">
            <v>110740</v>
          </cell>
          <cell r="AF697">
            <v>110760</v>
          </cell>
          <cell r="AG697">
            <v>110740</v>
          </cell>
          <cell r="AH697">
            <v>110750</v>
          </cell>
        </row>
        <row r="698">
          <cell r="W698">
            <v>116770</v>
          </cell>
          <cell r="X698">
            <v>116780</v>
          </cell>
          <cell r="Y698">
            <v>116750</v>
          </cell>
          <cell r="Z698">
            <v>116760</v>
          </cell>
          <cell r="AA698">
            <v>111070</v>
          </cell>
          <cell r="AB698">
            <v>111080</v>
          </cell>
          <cell r="AC698">
            <v>110990</v>
          </cell>
          <cell r="AD698">
            <v>111010</v>
          </cell>
          <cell r="AE698">
            <v>110750</v>
          </cell>
          <cell r="AF698">
            <v>110770</v>
          </cell>
          <cell r="AG698">
            <v>110750</v>
          </cell>
          <cell r="AH698">
            <v>110750</v>
          </cell>
        </row>
        <row r="699">
          <cell r="W699">
            <v>116750</v>
          </cell>
          <cell r="X699">
            <v>116780</v>
          </cell>
          <cell r="Y699">
            <v>116750</v>
          </cell>
          <cell r="Z699">
            <v>116770</v>
          </cell>
          <cell r="AA699">
            <v>111020</v>
          </cell>
          <cell r="AB699">
            <v>111020</v>
          </cell>
          <cell r="AC699">
            <v>110880</v>
          </cell>
          <cell r="AD699">
            <v>110920</v>
          </cell>
          <cell r="AE699">
            <v>110770</v>
          </cell>
          <cell r="AF699">
            <v>110780</v>
          </cell>
          <cell r="AG699">
            <v>110750</v>
          </cell>
          <cell r="AH699">
            <v>110760</v>
          </cell>
        </row>
        <row r="700">
          <cell r="W700">
            <v>116770</v>
          </cell>
          <cell r="X700">
            <v>116770</v>
          </cell>
          <cell r="Y700">
            <v>116710</v>
          </cell>
          <cell r="Z700">
            <v>116720</v>
          </cell>
          <cell r="AA700">
            <v>110910</v>
          </cell>
          <cell r="AB700">
            <v>110920</v>
          </cell>
          <cell r="AC700">
            <v>110860</v>
          </cell>
          <cell r="AD700">
            <v>110900</v>
          </cell>
          <cell r="AE700">
            <v>110760</v>
          </cell>
          <cell r="AF700">
            <v>110770</v>
          </cell>
          <cell r="AG700">
            <v>110740</v>
          </cell>
          <cell r="AH700">
            <v>110750</v>
          </cell>
        </row>
        <row r="701">
          <cell r="W701">
            <v>116720</v>
          </cell>
          <cell r="X701">
            <v>116730</v>
          </cell>
          <cell r="Y701">
            <v>116710</v>
          </cell>
          <cell r="Z701">
            <v>116730</v>
          </cell>
          <cell r="AA701">
            <v>110890</v>
          </cell>
          <cell r="AB701">
            <v>110890</v>
          </cell>
          <cell r="AC701">
            <v>110730</v>
          </cell>
          <cell r="AD701">
            <v>110760</v>
          </cell>
          <cell r="AE701">
            <v>110750</v>
          </cell>
          <cell r="AF701">
            <v>110780</v>
          </cell>
          <cell r="AG701">
            <v>110750</v>
          </cell>
          <cell r="AH701">
            <v>110780</v>
          </cell>
        </row>
        <row r="702">
          <cell r="W702">
            <v>116730</v>
          </cell>
          <cell r="X702">
            <v>116760</v>
          </cell>
          <cell r="Y702">
            <v>116710</v>
          </cell>
          <cell r="Z702">
            <v>116750</v>
          </cell>
          <cell r="AA702">
            <v>110760</v>
          </cell>
          <cell r="AB702">
            <v>110780</v>
          </cell>
          <cell r="AC702">
            <v>110650</v>
          </cell>
          <cell r="AD702">
            <v>110680</v>
          </cell>
          <cell r="AE702">
            <v>110780</v>
          </cell>
          <cell r="AF702">
            <v>110800</v>
          </cell>
          <cell r="AG702">
            <v>110770</v>
          </cell>
          <cell r="AH702">
            <v>110790</v>
          </cell>
        </row>
        <row r="703">
          <cell r="W703">
            <v>116740</v>
          </cell>
          <cell r="X703">
            <v>116760</v>
          </cell>
          <cell r="Y703">
            <v>116730</v>
          </cell>
          <cell r="Z703">
            <v>116740</v>
          </cell>
          <cell r="AA703">
            <v>110680</v>
          </cell>
          <cell r="AB703">
            <v>110790</v>
          </cell>
          <cell r="AC703">
            <v>110650</v>
          </cell>
          <cell r="AD703">
            <v>110780</v>
          </cell>
          <cell r="AE703">
            <v>110800</v>
          </cell>
          <cell r="AF703">
            <v>110840</v>
          </cell>
          <cell r="AG703">
            <v>110780</v>
          </cell>
          <cell r="AH703">
            <v>110780</v>
          </cell>
        </row>
        <row r="704">
          <cell r="W704">
            <v>116740</v>
          </cell>
          <cell r="X704">
            <v>116740</v>
          </cell>
          <cell r="Y704">
            <v>116700</v>
          </cell>
          <cell r="Z704">
            <v>116720</v>
          </cell>
          <cell r="AA704">
            <v>110770</v>
          </cell>
          <cell r="AB704">
            <v>110830</v>
          </cell>
          <cell r="AC704">
            <v>110770</v>
          </cell>
          <cell r="AD704">
            <v>110790</v>
          </cell>
          <cell r="AE704">
            <v>110770</v>
          </cell>
          <cell r="AF704">
            <v>110790</v>
          </cell>
          <cell r="AG704">
            <v>110760</v>
          </cell>
          <cell r="AH704">
            <v>110760</v>
          </cell>
        </row>
        <row r="705">
          <cell r="W705">
            <v>116730</v>
          </cell>
          <cell r="X705">
            <v>116740</v>
          </cell>
          <cell r="Y705">
            <v>116710</v>
          </cell>
          <cell r="Z705">
            <v>116730</v>
          </cell>
          <cell r="AA705">
            <v>110800</v>
          </cell>
          <cell r="AB705">
            <v>110810</v>
          </cell>
          <cell r="AC705">
            <v>110760</v>
          </cell>
          <cell r="AD705">
            <v>110780</v>
          </cell>
          <cell r="AE705">
            <v>110770</v>
          </cell>
          <cell r="AF705">
            <v>110780</v>
          </cell>
          <cell r="AG705">
            <v>110740</v>
          </cell>
          <cell r="AH705">
            <v>110760</v>
          </cell>
        </row>
        <row r="706">
          <cell r="W706">
            <v>116730</v>
          </cell>
          <cell r="X706">
            <v>116730</v>
          </cell>
          <cell r="Y706">
            <v>116710</v>
          </cell>
          <cell r="Z706">
            <v>116720</v>
          </cell>
          <cell r="AA706">
            <v>110770</v>
          </cell>
          <cell r="AB706">
            <v>110830</v>
          </cell>
          <cell r="AC706">
            <v>110760</v>
          </cell>
          <cell r="AD706">
            <v>110810</v>
          </cell>
          <cell r="AE706">
            <v>110750</v>
          </cell>
          <cell r="AF706">
            <v>110780</v>
          </cell>
          <cell r="AG706">
            <v>110750</v>
          </cell>
          <cell r="AH706">
            <v>110760</v>
          </cell>
        </row>
        <row r="707">
          <cell r="W707">
            <v>116710</v>
          </cell>
          <cell r="X707">
            <v>116730</v>
          </cell>
          <cell r="Y707">
            <v>116700</v>
          </cell>
          <cell r="Z707">
            <v>116730</v>
          </cell>
          <cell r="AA707">
            <v>110810</v>
          </cell>
          <cell r="AB707">
            <v>110850</v>
          </cell>
          <cell r="AC707">
            <v>110800</v>
          </cell>
          <cell r="AD707">
            <v>110850</v>
          </cell>
          <cell r="AE707">
            <v>110750</v>
          </cell>
          <cell r="AF707">
            <v>110750</v>
          </cell>
          <cell r="AG707">
            <v>110720</v>
          </cell>
          <cell r="AH707">
            <v>110730</v>
          </cell>
        </row>
        <row r="708">
          <cell r="W708">
            <v>116730</v>
          </cell>
          <cell r="X708">
            <v>116760</v>
          </cell>
          <cell r="Y708">
            <v>116730</v>
          </cell>
          <cell r="Z708">
            <v>116750</v>
          </cell>
          <cell r="AA708">
            <v>110850</v>
          </cell>
          <cell r="AB708">
            <v>110950</v>
          </cell>
          <cell r="AC708">
            <v>110830</v>
          </cell>
          <cell r="AD708">
            <v>110930</v>
          </cell>
          <cell r="AE708">
            <v>110710</v>
          </cell>
          <cell r="AF708">
            <v>110720</v>
          </cell>
          <cell r="AG708">
            <v>110680</v>
          </cell>
          <cell r="AH708">
            <v>110680</v>
          </cell>
        </row>
        <row r="709">
          <cell r="W709">
            <v>116750</v>
          </cell>
          <cell r="X709">
            <v>116770</v>
          </cell>
          <cell r="Y709">
            <v>116750</v>
          </cell>
          <cell r="Z709">
            <v>116750</v>
          </cell>
          <cell r="AA709">
            <v>110920</v>
          </cell>
          <cell r="AB709">
            <v>111040</v>
          </cell>
          <cell r="AC709">
            <v>110920</v>
          </cell>
          <cell r="AD709">
            <v>111010</v>
          </cell>
          <cell r="AE709">
            <v>110700</v>
          </cell>
          <cell r="AF709">
            <v>110700</v>
          </cell>
          <cell r="AG709">
            <v>110660</v>
          </cell>
          <cell r="AH709">
            <v>110680</v>
          </cell>
        </row>
        <row r="710">
          <cell r="W710">
            <v>116760</v>
          </cell>
          <cell r="X710">
            <v>116780</v>
          </cell>
          <cell r="Y710">
            <v>116760</v>
          </cell>
          <cell r="Z710">
            <v>116760</v>
          </cell>
          <cell r="AA710">
            <v>110990</v>
          </cell>
          <cell r="AB710">
            <v>111000</v>
          </cell>
          <cell r="AC710">
            <v>110960</v>
          </cell>
          <cell r="AD710">
            <v>110970</v>
          </cell>
          <cell r="AE710">
            <v>110680</v>
          </cell>
          <cell r="AF710">
            <v>110690</v>
          </cell>
          <cell r="AG710">
            <v>110660</v>
          </cell>
          <cell r="AH710">
            <v>110670</v>
          </cell>
        </row>
        <row r="711">
          <cell r="W711">
            <v>116770</v>
          </cell>
          <cell r="X711">
            <v>116810</v>
          </cell>
          <cell r="Y711">
            <v>116770</v>
          </cell>
          <cell r="Z711">
            <v>116790</v>
          </cell>
          <cell r="AA711">
            <v>110990</v>
          </cell>
          <cell r="AB711">
            <v>111140</v>
          </cell>
          <cell r="AC711">
            <v>110950</v>
          </cell>
          <cell r="AD711">
            <v>111100</v>
          </cell>
          <cell r="AE711">
            <v>110680</v>
          </cell>
          <cell r="AF711">
            <v>110720</v>
          </cell>
          <cell r="AG711">
            <v>110680</v>
          </cell>
          <cell r="AH711">
            <v>110720</v>
          </cell>
        </row>
        <row r="712">
          <cell r="W712">
            <v>116780</v>
          </cell>
          <cell r="X712">
            <v>116780</v>
          </cell>
          <cell r="Y712">
            <v>116740</v>
          </cell>
          <cell r="Z712">
            <v>116740</v>
          </cell>
          <cell r="AA712">
            <v>111100</v>
          </cell>
          <cell r="AB712">
            <v>111300</v>
          </cell>
          <cell r="AC712">
            <v>111090</v>
          </cell>
          <cell r="AD712">
            <v>111250</v>
          </cell>
          <cell r="AE712">
            <v>110710</v>
          </cell>
          <cell r="AF712">
            <v>110740</v>
          </cell>
          <cell r="AG712">
            <v>110710</v>
          </cell>
          <cell r="AH712">
            <v>110730</v>
          </cell>
        </row>
        <row r="713">
          <cell r="W713">
            <v>116740</v>
          </cell>
          <cell r="X713">
            <v>116750</v>
          </cell>
          <cell r="Y713">
            <v>116730</v>
          </cell>
          <cell r="Z713">
            <v>116730</v>
          </cell>
          <cell r="AA713">
            <v>111250</v>
          </cell>
          <cell r="AB713">
            <v>111250</v>
          </cell>
          <cell r="AC713">
            <v>111160</v>
          </cell>
          <cell r="AD713">
            <v>111230</v>
          </cell>
          <cell r="AE713">
            <v>110720</v>
          </cell>
          <cell r="AF713">
            <v>110750</v>
          </cell>
          <cell r="AG713">
            <v>110710</v>
          </cell>
          <cell r="AH713">
            <v>110710</v>
          </cell>
        </row>
        <row r="714">
          <cell r="W714">
            <v>116730</v>
          </cell>
          <cell r="X714">
            <v>116740</v>
          </cell>
          <cell r="Y714">
            <v>116730</v>
          </cell>
          <cell r="Z714">
            <v>116730</v>
          </cell>
          <cell r="AA714">
            <v>111210</v>
          </cell>
          <cell r="AB714">
            <v>111240</v>
          </cell>
          <cell r="AC714">
            <v>111150</v>
          </cell>
          <cell r="AD714">
            <v>111240</v>
          </cell>
          <cell r="AE714">
            <v>110700</v>
          </cell>
          <cell r="AF714">
            <v>110720</v>
          </cell>
          <cell r="AG714">
            <v>110670</v>
          </cell>
          <cell r="AH714">
            <v>110680</v>
          </cell>
        </row>
        <row r="715">
          <cell r="W715">
            <v>116720</v>
          </cell>
          <cell r="X715">
            <v>116730</v>
          </cell>
          <cell r="Y715">
            <v>116720</v>
          </cell>
          <cell r="Z715">
            <v>116730</v>
          </cell>
          <cell r="AA715">
            <v>111250</v>
          </cell>
          <cell r="AB715">
            <v>111300</v>
          </cell>
          <cell r="AC715">
            <v>111180</v>
          </cell>
          <cell r="AD715">
            <v>111220</v>
          </cell>
          <cell r="AE715">
            <v>110670</v>
          </cell>
          <cell r="AF715">
            <v>110700</v>
          </cell>
          <cell r="AG715">
            <v>110670</v>
          </cell>
          <cell r="AH715">
            <v>110690</v>
          </cell>
        </row>
        <row r="716">
          <cell r="W716">
            <v>116730</v>
          </cell>
          <cell r="X716">
            <v>116800</v>
          </cell>
          <cell r="Y716">
            <v>116730</v>
          </cell>
          <cell r="Z716">
            <v>116800</v>
          </cell>
          <cell r="AA716">
            <v>111220</v>
          </cell>
          <cell r="AB716">
            <v>111240</v>
          </cell>
          <cell r="AC716">
            <v>111150</v>
          </cell>
          <cell r="AD716">
            <v>111170</v>
          </cell>
          <cell r="AE716">
            <v>110680</v>
          </cell>
          <cell r="AF716">
            <v>110690</v>
          </cell>
          <cell r="AG716">
            <v>110680</v>
          </cell>
          <cell r="AH716">
            <v>110690</v>
          </cell>
        </row>
        <row r="717">
          <cell r="W717">
            <v>116790</v>
          </cell>
          <cell r="X717">
            <v>116790</v>
          </cell>
          <cell r="Y717">
            <v>116750</v>
          </cell>
          <cell r="Z717">
            <v>116770</v>
          </cell>
          <cell r="AA717">
            <v>111170</v>
          </cell>
          <cell r="AB717">
            <v>111190</v>
          </cell>
          <cell r="AC717">
            <v>111130</v>
          </cell>
          <cell r="AD717">
            <v>111150</v>
          </cell>
          <cell r="AE717">
            <v>110690</v>
          </cell>
          <cell r="AF717">
            <v>110700</v>
          </cell>
          <cell r="AG717">
            <v>110680</v>
          </cell>
          <cell r="AH717">
            <v>110700</v>
          </cell>
        </row>
        <row r="718">
          <cell r="W718">
            <v>116760</v>
          </cell>
          <cell r="X718">
            <v>116780</v>
          </cell>
          <cell r="Y718">
            <v>116750</v>
          </cell>
          <cell r="Z718">
            <v>116760</v>
          </cell>
          <cell r="AA718">
            <v>111140</v>
          </cell>
          <cell r="AB718">
            <v>111240</v>
          </cell>
          <cell r="AC718">
            <v>111140</v>
          </cell>
          <cell r="AD718">
            <v>111230</v>
          </cell>
          <cell r="AE718">
            <v>110710</v>
          </cell>
          <cell r="AF718">
            <v>110730</v>
          </cell>
          <cell r="AG718">
            <v>110710</v>
          </cell>
          <cell r="AH718">
            <v>110730</v>
          </cell>
        </row>
        <row r="719">
          <cell r="W719">
            <v>116760</v>
          </cell>
          <cell r="X719">
            <v>116770</v>
          </cell>
          <cell r="Y719">
            <v>116760</v>
          </cell>
          <cell r="Z719">
            <v>116760</v>
          </cell>
          <cell r="AA719">
            <v>111240</v>
          </cell>
          <cell r="AB719">
            <v>111250</v>
          </cell>
          <cell r="AC719">
            <v>111170</v>
          </cell>
          <cell r="AD719">
            <v>111200</v>
          </cell>
          <cell r="AE719">
            <v>110730</v>
          </cell>
          <cell r="AF719">
            <v>110740</v>
          </cell>
          <cell r="AG719">
            <v>110700</v>
          </cell>
          <cell r="AH719">
            <v>110740</v>
          </cell>
        </row>
        <row r="720">
          <cell r="W720">
            <v>116750</v>
          </cell>
          <cell r="X720">
            <v>116770</v>
          </cell>
          <cell r="Y720">
            <v>116740</v>
          </cell>
          <cell r="Z720">
            <v>116740</v>
          </cell>
          <cell r="AA720">
            <v>111200</v>
          </cell>
          <cell r="AB720">
            <v>111210</v>
          </cell>
          <cell r="AC720">
            <v>111110</v>
          </cell>
          <cell r="AD720">
            <v>111120</v>
          </cell>
          <cell r="AE720">
            <v>110740</v>
          </cell>
          <cell r="AF720">
            <v>110760</v>
          </cell>
          <cell r="AG720">
            <v>110740</v>
          </cell>
          <cell r="AH720">
            <v>110760</v>
          </cell>
        </row>
        <row r="721">
          <cell r="W721">
            <v>116740</v>
          </cell>
          <cell r="X721">
            <v>116750</v>
          </cell>
          <cell r="Y721">
            <v>116730</v>
          </cell>
          <cell r="Z721">
            <v>116740</v>
          </cell>
          <cell r="AA721">
            <v>111130</v>
          </cell>
          <cell r="AB721">
            <v>111170</v>
          </cell>
          <cell r="AC721">
            <v>111100</v>
          </cell>
          <cell r="AD721">
            <v>111120</v>
          </cell>
          <cell r="AE721">
            <v>110750</v>
          </cell>
          <cell r="AF721">
            <v>110780</v>
          </cell>
          <cell r="AG721">
            <v>110750</v>
          </cell>
          <cell r="AH721">
            <v>110750</v>
          </cell>
        </row>
        <row r="722">
          <cell r="W722">
            <v>116740</v>
          </cell>
          <cell r="X722">
            <v>116750</v>
          </cell>
          <cell r="Y722">
            <v>116720</v>
          </cell>
          <cell r="Z722">
            <v>116740</v>
          </cell>
          <cell r="AA722">
            <v>111110</v>
          </cell>
          <cell r="AB722">
            <v>111110</v>
          </cell>
          <cell r="AC722">
            <v>111030</v>
          </cell>
          <cell r="AD722">
            <v>111030</v>
          </cell>
          <cell r="AE722">
            <v>110750</v>
          </cell>
          <cell r="AF722">
            <v>110760</v>
          </cell>
          <cell r="AG722">
            <v>110730</v>
          </cell>
          <cell r="AH722">
            <v>110750</v>
          </cell>
        </row>
        <row r="723">
          <cell r="W723">
            <v>116740</v>
          </cell>
          <cell r="X723">
            <v>116790</v>
          </cell>
          <cell r="Y723">
            <v>116740</v>
          </cell>
          <cell r="Z723">
            <v>116770</v>
          </cell>
          <cell r="AA723">
            <v>111020</v>
          </cell>
          <cell r="AB723">
            <v>111040</v>
          </cell>
          <cell r="AC723">
            <v>110860</v>
          </cell>
          <cell r="AD723">
            <v>110910</v>
          </cell>
          <cell r="AE723">
            <v>110760</v>
          </cell>
          <cell r="AF723">
            <v>110760</v>
          </cell>
          <cell r="AG723">
            <v>110680</v>
          </cell>
          <cell r="AH723">
            <v>110700</v>
          </cell>
        </row>
        <row r="724">
          <cell r="W724">
            <v>116770</v>
          </cell>
          <cell r="X724">
            <v>116770</v>
          </cell>
          <cell r="Y724">
            <v>116740</v>
          </cell>
          <cell r="Z724">
            <v>116750</v>
          </cell>
          <cell r="AA724">
            <v>110910</v>
          </cell>
          <cell r="AB724">
            <v>111050</v>
          </cell>
          <cell r="AC724">
            <v>110890</v>
          </cell>
          <cell r="AD724">
            <v>111040</v>
          </cell>
          <cell r="AE724">
            <v>110700</v>
          </cell>
          <cell r="AF724">
            <v>110710</v>
          </cell>
          <cell r="AG724">
            <v>110610</v>
          </cell>
          <cell r="AH724">
            <v>110640</v>
          </cell>
        </row>
        <row r="725">
          <cell r="W725">
            <v>116750</v>
          </cell>
          <cell r="X725">
            <v>116770</v>
          </cell>
          <cell r="Y725">
            <v>116740</v>
          </cell>
          <cell r="Z725">
            <v>116740</v>
          </cell>
          <cell r="AA725">
            <v>111050</v>
          </cell>
          <cell r="AB725">
            <v>111050</v>
          </cell>
          <cell r="AC725">
            <v>110970</v>
          </cell>
          <cell r="AD725">
            <v>110970</v>
          </cell>
          <cell r="AE725">
            <v>110640</v>
          </cell>
          <cell r="AF725">
            <v>110720</v>
          </cell>
          <cell r="AG725">
            <v>110610</v>
          </cell>
          <cell r="AH725">
            <v>110700</v>
          </cell>
        </row>
        <row r="726">
          <cell r="W726">
            <v>116740</v>
          </cell>
          <cell r="X726">
            <v>116770</v>
          </cell>
          <cell r="Y726">
            <v>116740</v>
          </cell>
          <cell r="Z726">
            <v>116750</v>
          </cell>
          <cell r="AA726">
            <v>110960</v>
          </cell>
          <cell r="AB726">
            <v>110970</v>
          </cell>
          <cell r="AC726">
            <v>110940</v>
          </cell>
          <cell r="AD726">
            <v>110940</v>
          </cell>
          <cell r="AE726">
            <v>110700</v>
          </cell>
          <cell r="AF726">
            <v>110750</v>
          </cell>
          <cell r="AG726">
            <v>110680</v>
          </cell>
          <cell r="AH726">
            <v>110720</v>
          </cell>
        </row>
        <row r="727">
          <cell r="W727">
            <v>116750</v>
          </cell>
          <cell r="X727">
            <v>116780</v>
          </cell>
          <cell r="Y727">
            <v>116740</v>
          </cell>
          <cell r="Z727">
            <v>116770</v>
          </cell>
          <cell r="AA727">
            <v>110940</v>
          </cell>
          <cell r="AB727">
            <v>110950</v>
          </cell>
          <cell r="AC727">
            <v>110890</v>
          </cell>
          <cell r="AD727">
            <v>110940</v>
          </cell>
          <cell r="AE727">
            <v>110700</v>
          </cell>
          <cell r="AF727">
            <v>110750</v>
          </cell>
          <cell r="AG727">
            <v>110700</v>
          </cell>
          <cell r="AH727">
            <v>110700</v>
          </cell>
        </row>
        <row r="728">
          <cell r="W728">
            <v>116760</v>
          </cell>
          <cell r="X728">
            <v>116780</v>
          </cell>
          <cell r="Y728">
            <v>116750</v>
          </cell>
          <cell r="Z728">
            <v>116780</v>
          </cell>
          <cell r="AA728">
            <v>110940</v>
          </cell>
          <cell r="AB728">
            <v>111090</v>
          </cell>
          <cell r="AC728">
            <v>110940</v>
          </cell>
          <cell r="AD728">
            <v>111060</v>
          </cell>
          <cell r="AE728">
            <v>110710</v>
          </cell>
          <cell r="AF728">
            <v>110710</v>
          </cell>
          <cell r="AG728">
            <v>110650</v>
          </cell>
          <cell r="AH728">
            <v>110680</v>
          </cell>
        </row>
        <row r="729">
          <cell r="W729">
            <v>116790</v>
          </cell>
          <cell r="X729">
            <v>116800</v>
          </cell>
          <cell r="Y729">
            <v>116790</v>
          </cell>
          <cell r="Z729">
            <v>116790</v>
          </cell>
          <cell r="AA729">
            <v>111070</v>
          </cell>
          <cell r="AB729">
            <v>111100</v>
          </cell>
          <cell r="AC729">
            <v>111040</v>
          </cell>
          <cell r="AD729">
            <v>111090</v>
          </cell>
          <cell r="AE729">
            <v>110650</v>
          </cell>
          <cell r="AF729">
            <v>110700</v>
          </cell>
          <cell r="AG729">
            <v>110640</v>
          </cell>
          <cell r="AH729">
            <v>110660</v>
          </cell>
        </row>
        <row r="730">
          <cell r="W730">
            <v>116800</v>
          </cell>
          <cell r="X730">
            <v>116820</v>
          </cell>
          <cell r="Y730">
            <v>116790</v>
          </cell>
          <cell r="Z730">
            <v>116810</v>
          </cell>
          <cell r="AA730">
            <v>111080</v>
          </cell>
          <cell r="AB730">
            <v>111100</v>
          </cell>
          <cell r="AC730">
            <v>111000</v>
          </cell>
          <cell r="AD730">
            <v>111020</v>
          </cell>
          <cell r="AE730">
            <v>110640</v>
          </cell>
          <cell r="AF730">
            <v>110690</v>
          </cell>
          <cell r="AG730">
            <v>110640</v>
          </cell>
          <cell r="AH730">
            <v>110660</v>
          </cell>
        </row>
        <row r="731">
          <cell r="W731">
            <v>116810</v>
          </cell>
          <cell r="X731">
            <v>116820</v>
          </cell>
          <cell r="Y731">
            <v>116800</v>
          </cell>
          <cell r="Z731">
            <v>116810</v>
          </cell>
          <cell r="AA731">
            <v>111030</v>
          </cell>
          <cell r="AB731">
            <v>111070</v>
          </cell>
          <cell r="AC731">
            <v>111020</v>
          </cell>
          <cell r="AD731">
            <v>111040</v>
          </cell>
          <cell r="AE731">
            <v>110650</v>
          </cell>
          <cell r="AF731">
            <v>110670</v>
          </cell>
          <cell r="AG731">
            <v>110600</v>
          </cell>
          <cell r="AH731">
            <v>110630</v>
          </cell>
        </row>
        <row r="732">
          <cell r="W732">
            <v>116800</v>
          </cell>
          <cell r="X732">
            <v>116820</v>
          </cell>
          <cell r="Y732">
            <v>116790</v>
          </cell>
          <cell r="Z732">
            <v>116800</v>
          </cell>
          <cell r="AA732">
            <v>111040</v>
          </cell>
          <cell r="AB732">
            <v>111060</v>
          </cell>
          <cell r="AC732">
            <v>110970</v>
          </cell>
          <cell r="AD732">
            <v>111000</v>
          </cell>
          <cell r="AE732">
            <v>110620</v>
          </cell>
          <cell r="AF732">
            <v>110670</v>
          </cell>
          <cell r="AG732">
            <v>110620</v>
          </cell>
          <cell r="AH732">
            <v>110640</v>
          </cell>
        </row>
        <row r="733">
          <cell r="W733">
            <v>116800</v>
          </cell>
          <cell r="X733">
            <v>116840</v>
          </cell>
          <cell r="Y733">
            <v>116800</v>
          </cell>
          <cell r="Z733">
            <v>116830</v>
          </cell>
          <cell r="AA733">
            <v>111020</v>
          </cell>
          <cell r="AB733">
            <v>111130</v>
          </cell>
          <cell r="AC733">
            <v>110990</v>
          </cell>
          <cell r="AD733">
            <v>111110</v>
          </cell>
          <cell r="AE733">
            <v>110650</v>
          </cell>
          <cell r="AF733">
            <v>110670</v>
          </cell>
          <cell r="AG733">
            <v>110620</v>
          </cell>
          <cell r="AH733">
            <v>110630</v>
          </cell>
        </row>
        <row r="734">
          <cell r="W734">
            <v>116840</v>
          </cell>
          <cell r="X734">
            <v>116840</v>
          </cell>
          <cell r="Y734">
            <v>116800</v>
          </cell>
          <cell r="Z734">
            <v>116800</v>
          </cell>
          <cell r="AA734">
            <v>111120</v>
          </cell>
          <cell r="AB734">
            <v>111220</v>
          </cell>
          <cell r="AC734">
            <v>111110</v>
          </cell>
          <cell r="AD734">
            <v>111190</v>
          </cell>
          <cell r="AE734">
            <v>110630</v>
          </cell>
          <cell r="AF734">
            <v>110640</v>
          </cell>
          <cell r="AG734">
            <v>110600</v>
          </cell>
          <cell r="AH734">
            <v>110600</v>
          </cell>
        </row>
        <row r="735">
          <cell r="W735">
            <v>116810</v>
          </cell>
          <cell r="X735">
            <v>116820</v>
          </cell>
          <cell r="Y735">
            <v>116800</v>
          </cell>
          <cell r="Z735">
            <v>116810</v>
          </cell>
          <cell r="AA735">
            <v>111180</v>
          </cell>
          <cell r="AB735">
            <v>111250</v>
          </cell>
          <cell r="AC735">
            <v>111180</v>
          </cell>
          <cell r="AD735">
            <v>111180</v>
          </cell>
          <cell r="AE735">
            <v>110600</v>
          </cell>
          <cell r="AF735">
            <v>110610</v>
          </cell>
          <cell r="AG735">
            <v>110580</v>
          </cell>
          <cell r="AH735">
            <v>110600</v>
          </cell>
        </row>
        <row r="736">
          <cell r="W736">
            <v>116820</v>
          </cell>
          <cell r="X736">
            <v>116840</v>
          </cell>
          <cell r="Y736">
            <v>116820</v>
          </cell>
          <cell r="Z736">
            <v>116830</v>
          </cell>
          <cell r="AA736">
            <v>111190</v>
          </cell>
          <cell r="AB736">
            <v>111200</v>
          </cell>
          <cell r="AC736">
            <v>111120</v>
          </cell>
          <cell r="AD736">
            <v>111130</v>
          </cell>
          <cell r="AE736">
            <v>110600</v>
          </cell>
          <cell r="AF736">
            <v>110610</v>
          </cell>
          <cell r="AG736">
            <v>110560</v>
          </cell>
          <cell r="AH736">
            <v>110570</v>
          </cell>
        </row>
        <row r="737">
          <cell r="W737">
            <v>116830</v>
          </cell>
          <cell r="X737">
            <v>116860</v>
          </cell>
          <cell r="Y737">
            <v>116820</v>
          </cell>
          <cell r="Z737">
            <v>116850</v>
          </cell>
          <cell r="AA737">
            <v>111140</v>
          </cell>
          <cell r="AB737">
            <v>111220</v>
          </cell>
          <cell r="AC737">
            <v>111090</v>
          </cell>
          <cell r="AD737">
            <v>111110</v>
          </cell>
          <cell r="AE737">
            <v>110570</v>
          </cell>
          <cell r="AF737">
            <v>110620</v>
          </cell>
          <cell r="AG737">
            <v>110560</v>
          </cell>
          <cell r="AH737">
            <v>110620</v>
          </cell>
        </row>
        <row r="738">
          <cell r="W738">
            <v>116840</v>
          </cell>
          <cell r="X738">
            <v>116860</v>
          </cell>
          <cell r="Y738">
            <v>116820</v>
          </cell>
          <cell r="Z738">
            <v>116830</v>
          </cell>
          <cell r="AA738">
            <v>111130</v>
          </cell>
          <cell r="AB738">
            <v>111140</v>
          </cell>
          <cell r="AC738">
            <v>111030</v>
          </cell>
          <cell r="AD738">
            <v>111070</v>
          </cell>
          <cell r="AE738">
            <v>110620</v>
          </cell>
          <cell r="AF738">
            <v>110670</v>
          </cell>
          <cell r="AG738">
            <v>110600</v>
          </cell>
          <cell r="AH738">
            <v>110600</v>
          </cell>
        </row>
        <row r="739">
          <cell r="W739">
            <v>116820</v>
          </cell>
          <cell r="X739">
            <v>116840</v>
          </cell>
          <cell r="Y739">
            <v>116820</v>
          </cell>
          <cell r="Z739">
            <v>116820</v>
          </cell>
          <cell r="AA739">
            <v>111070</v>
          </cell>
          <cell r="AB739">
            <v>111140</v>
          </cell>
          <cell r="AC739">
            <v>111040</v>
          </cell>
          <cell r="AD739">
            <v>111090</v>
          </cell>
          <cell r="AE739">
            <v>110610</v>
          </cell>
          <cell r="AF739">
            <v>110610</v>
          </cell>
          <cell r="AG739">
            <v>110540</v>
          </cell>
          <cell r="AH739">
            <v>110550</v>
          </cell>
        </row>
        <row r="740">
          <cell r="W740">
            <v>116820</v>
          </cell>
          <cell r="X740">
            <v>116840</v>
          </cell>
          <cell r="Y740">
            <v>116820</v>
          </cell>
          <cell r="Z740">
            <v>116830</v>
          </cell>
          <cell r="AA740">
            <v>111090</v>
          </cell>
          <cell r="AB740">
            <v>111130</v>
          </cell>
          <cell r="AC740">
            <v>111070</v>
          </cell>
          <cell r="AD740">
            <v>111070</v>
          </cell>
          <cell r="AE740">
            <v>110540</v>
          </cell>
          <cell r="AF740">
            <v>110590</v>
          </cell>
          <cell r="AG740">
            <v>110530</v>
          </cell>
          <cell r="AH740">
            <v>110580</v>
          </cell>
        </row>
        <row r="741">
          <cell r="W741">
            <v>116820</v>
          </cell>
          <cell r="X741">
            <v>116890</v>
          </cell>
          <cell r="Y741">
            <v>116820</v>
          </cell>
          <cell r="Z741">
            <v>116880</v>
          </cell>
          <cell r="AA741">
            <v>111080</v>
          </cell>
          <cell r="AB741">
            <v>111110</v>
          </cell>
          <cell r="AC741">
            <v>111040</v>
          </cell>
          <cell r="AD741">
            <v>111080</v>
          </cell>
          <cell r="AE741">
            <v>110580</v>
          </cell>
          <cell r="AF741">
            <v>110610</v>
          </cell>
          <cell r="AG741">
            <v>110570</v>
          </cell>
          <cell r="AH741">
            <v>110600</v>
          </cell>
        </row>
        <row r="742">
          <cell r="W742">
            <v>116880</v>
          </cell>
          <cell r="X742">
            <v>116910</v>
          </cell>
          <cell r="Y742">
            <v>116870</v>
          </cell>
          <cell r="Z742">
            <v>116900</v>
          </cell>
          <cell r="AA742">
            <v>111090</v>
          </cell>
          <cell r="AB742">
            <v>111110</v>
          </cell>
          <cell r="AC742">
            <v>111050</v>
          </cell>
          <cell r="AD742">
            <v>111090</v>
          </cell>
          <cell r="AE742">
            <v>110590</v>
          </cell>
          <cell r="AF742">
            <v>110650</v>
          </cell>
          <cell r="AG742">
            <v>110590</v>
          </cell>
          <cell r="AH742">
            <v>110630</v>
          </cell>
        </row>
        <row r="743">
          <cell r="W743">
            <v>116880</v>
          </cell>
          <cell r="X743">
            <v>116930</v>
          </cell>
          <cell r="Y743">
            <v>116880</v>
          </cell>
          <cell r="Z743">
            <v>116920</v>
          </cell>
          <cell r="AA743">
            <v>111090</v>
          </cell>
          <cell r="AB743">
            <v>111160</v>
          </cell>
          <cell r="AC743">
            <v>111080</v>
          </cell>
          <cell r="AD743">
            <v>111160</v>
          </cell>
          <cell r="AE743">
            <v>110640</v>
          </cell>
          <cell r="AF743">
            <v>110650</v>
          </cell>
          <cell r="AG743">
            <v>110620</v>
          </cell>
          <cell r="AH743">
            <v>110630</v>
          </cell>
        </row>
        <row r="744">
          <cell r="W744">
            <v>116920</v>
          </cell>
          <cell r="X744">
            <v>116920</v>
          </cell>
          <cell r="Y744">
            <v>116880</v>
          </cell>
          <cell r="Z744">
            <v>116880</v>
          </cell>
          <cell r="AA744">
            <v>111160</v>
          </cell>
          <cell r="AB744">
            <v>111170</v>
          </cell>
          <cell r="AC744">
            <v>111080</v>
          </cell>
          <cell r="AD744">
            <v>111110</v>
          </cell>
          <cell r="AE744">
            <v>110620</v>
          </cell>
          <cell r="AF744">
            <v>110630</v>
          </cell>
          <cell r="AG744">
            <v>110530</v>
          </cell>
          <cell r="AH744">
            <v>110550</v>
          </cell>
        </row>
        <row r="745">
          <cell r="W745">
            <v>116890</v>
          </cell>
          <cell r="X745">
            <v>116940</v>
          </cell>
          <cell r="Y745">
            <v>116880</v>
          </cell>
          <cell r="Z745">
            <v>116910</v>
          </cell>
          <cell r="AA745">
            <v>111090</v>
          </cell>
          <cell r="AB745">
            <v>111170</v>
          </cell>
          <cell r="AC745">
            <v>111090</v>
          </cell>
          <cell r="AD745">
            <v>111170</v>
          </cell>
          <cell r="AE745">
            <v>110550</v>
          </cell>
          <cell r="AF745">
            <v>110610</v>
          </cell>
          <cell r="AG745">
            <v>110540</v>
          </cell>
          <cell r="AH745">
            <v>110610</v>
          </cell>
        </row>
        <row r="746">
          <cell r="W746">
            <v>116920</v>
          </cell>
          <cell r="X746">
            <v>116940</v>
          </cell>
          <cell r="Y746">
            <v>116920</v>
          </cell>
          <cell r="Z746">
            <v>116920</v>
          </cell>
          <cell r="AA746">
            <v>111180</v>
          </cell>
          <cell r="AB746">
            <v>111200</v>
          </cell>
          <cell r="AC746">
            <v>111150</v>
          </cell>
          <cell r="AD746">
            <v>111160</v>
          </cell>
          <cell r="AE746">
            <v>110600</v>
          </cell>
          <cell r="AF746">
            <v>110600</v>
          </cell>
          <cell r="AG746">
            <v>110560</v>
          </cell>
          <cell r="AH746">
            <v>110580</v>
          </cell>
        </row>
        <row r="747">
          <cell r="W747">
            <v>116930</v>
          </cell>
          <cell r="X747">
            <v>116940</v>
          </cell>
          <cell r="Y747">
            <v>116910</v>
          </cell>
          <cell r="Z747">
            <v>116910</v>
          </cell>
          <cell r="AA747">
            <v>111170</v>
          </cell>
          <cell r="AB747">
            <v>111260</v>
          </cell>
          <cell r="AC747">
            <v>111130</v>
          </cell>
          <cell r="AD747">
            <v>111250</v>
          </cell>
          <cell r="AE747">
            <v>110590</v>
          </cell>
          <cell r="AF747">
            <v>110640</v>
          </cell>
          <cell r="AG747">
            <v>110590</v>
          </cell>
          <cell r="AH747">
            <v>110630</v>
          </cell>
        </row>
        <row r="748">
          <cell r="W748">
            <v>116920</v>
          </cell>
          <cell r="X748">
            <v>116920</v>
          </cell>
          <cell r="Y748">
            <v>116900</v>
          </cell>
          <cell r="Z748">
            <v>116910</v>
          </cell>
          <cell r="AA748">
            <v>111240</v>
          </cell>
          <cell r="AB748">
            <v>111250</v>
          </cell>
          <cell r="AC748">
            <v>111180</v>
          </cell>
          <cell r="AD748">
            <v>111250</v>
          </cell>
          <cell r="AE748">
            <v>110640</v>
          </cell>
          <cell r="AF748">
            <v>110660</v>
          </cell>
          <cell r="AG748">
            <v>110590</v>
          </cell>
          <cell r="AH748">
            <v>110590</v>
          </cell>
        </row>
        <row r="749">
          <cell r="W749">
            <v>116900</v>
          </cell>
          <cell r="X749">
            <v>116900</v>
          </cell>
          <cell r="Y749">
            <v>116860</v>
          </cell>
          <cell r="Z749">
            <v>116870</v>
          </cell>
          <cell r="AA749">
            <v>111240</v>
          </cell>
          <cell r="AB749">
            <v>111340</v>
          </cell>
          <cell r="AC749">
            <v>111220</v>
          </cell>
          <cell r="AD749">
            <v>111330</v>
          </cell>
          <cell r="AE749">
            <v>110600</v>
          </cell>
          <cell r="AF749">
            <v>110630</v>
          </cell>
          <cell r="AG749">
            <v>110600</v>
          </cell>
          <cell r="AH749">
            <v>110630</v>
          </cell>
        </row>
        <row r="750">
          <cell r="W750">
            <v>116880</v>
          </cell>
          <cell r="X750">
            <v>116890</v>
          </cell>
          <cell r="Y750">
            <v>116870</v>
          </cell>
          <cell r="Z750">
            <v>116890</v>
          </cell>
          <cell r="AA750">
            <v>111320</v>
          </cell>
          <cell r="AB750">
            <v>111340</v>
          </cell>
          <cell r="AC750">
            <v>111260</v>
          </cell>
          <cell r="AD750">
            <v>111290</v>
          </cell>
          <cell r="AE750">
            <v>110640</v>
          </cell>
          <cell r="AF750">
            <v>110650</v>
          </cell>
          <cell r="AG750">
            <v>110580</v>
          </cell>
          <cell r="AH750">
            <v>110580</v>
          </cell>
        </row>
        <row r="751">
          <cell r="W751">
            <v>116880</v>
          </cell>
          <cell r="X751">
            <v>116890</v>
          </cell>
          <cell r="Y751">
            <v>116830</v>
          </cell>
          <cell r="Z751">
            <v>116890</v>
          </cell>
          <cell r="AA751">
            <v>111300</v>
          </cell>
          <cell r="AB751">
            <v>111420</v>
          </cell>
          <cell r="AC751">
            <v>111290</v>
          </cell>
          <cell r="AD751">
            <v>111410</v>
          </cell>
          <cell r="AE751">
            <v>110590</v>
          </cell>
          <cell r="AF751">
            <v>110610</v>
          </cell>
          <cell r="AG751">
            <v>110590</v>
          </cell>
          <cell r="AH751">
            <v>110610</v>
          </cell>
        </row>
        <row r="752">
          <cell r="W752">
            <v>116880</v>
          </cell>
          <cell r="X752">
            <v>116900</v>
          </cell>
          <cell r="Y752">
            <v>116840</v>
          </cell>
          <cell r="Z752">
            <v>116840</v>
          </cell>
          <cell r="AA752">
            <v>111390</v>
          </cell>
          <cell r="AB752">
            <v>111460</v>
          </cell>
          <cell r="AC752">
            <v>111380</v>
          </cell>
          <cell r="AD752">
            <v>111420</v>
          </cell>
          <cell r="AE752">
            <v>110600</v>
          </cell>
          <cell r="AF752">
            <v>110600</v>
          </cell>
          <cell r="AG752">
            <v>110550</v>
          </cell>
          <cell r="AH752">
            <v>110600</v>
          </cell>
        </row>
        <row r="753">
          <cell r="W753">
            <v>116840</v>
          </cell>
          <cell r="X753">
            <v>116840</v>
          </cell>
          <cell r="Y753">
            <v>116810</v>
          </cell>
          <cell r="Z753">
            <v>116820</v>
          </cell>
          <cell r="AA753">
            <v>111420</v>
          </cell>
          <cell r="AB753">
            <v>111560</v>
          </cell>
          <cell r="AC753">
            <v>111370</v>
          </cell>
          <cell r="AD753">
            <v>111530</v>
          </cell>
          <cell r="AE753">
            <v>110600</v>
          </cell>
          <cell r="AF753">
            <v>110660</v>
          </cell>
          <cell r="AG753">
            <v>110600</v>
          </cell>
          <cell r="AH753">
            <v>110650</v>
          </cell>
        </row>
        <row r="754">
          <cell r="W754">
            <v>116810</v>
          </cell>
          <cell r="X754">
            <v>116850</v>
          </cell>
          <cell r="Y754">
            <v>116810</v>
          </cell>
          <cell r="Z754">
            <v>116850</v>
          </cell>
          <cell r="AA754">
            <v>111540</v>
          </cell>
          <cell r="AB754">
            <v>111640</v>
          </cell>
          <cell r="AC754">
            <v>111530</v>
          </cell>
          <cell r="AD754">
            <v>111580</v>
          </cell>
          <cell r="AE754">
            <v>110650</v>
          </cell>
          <cell r="AF754">
            <v>110670</v>
          </cell>
          <cell r="AG754">
            <v>110630</v>
          </cell>
          <cell r="AH754">
            <v>110660</v>
          </cell>
        </row>
        <row r="755">
          <cell r="W755">
            <v>116840</v>
          </cell>
          <cell r="X755">
            <v>116860</v>
          </cell>
          <cell r="Y755">
            <v>116830</v>
          </cell>
          <cell r="Z755">
            <v>116840</v>
          </cell>
          <cell r="AA755">
            <v>111590</v>
          </cell>
          <cell r="AB755">
            <v>111700</v>
          </cell>
          <cell r="AC755">
            <v>111520</v>
          </cell>
          <cell r="AD755">
            <v>111630</v>
          </cell>
          <cell r="AE755">
            <v>110660</v>
          </cell>
          <cell r="AF755">
            <v>110680</v>
          </cell>
          <cell r="AG755">
            <v>110630</v>
          </cell>
          <cell r="AH755">
            <v>110640</v>
          </cell>
        </row>
        <row r="756">
          <cell r="W756">
            <v>116830</v>
          </cell>
          <cell r="X756">
            <v>116860</v>
          </cell>
          <cell r="Y756">
            <v>116820</v>
          </cell>
          <cell r="Z756">
            <v>116860</v>
          </cell>
          <cell r="AA756">
            <v>111620</v>
          </cell>
          <cell r="AB756">
            <v>111670</v>
          </cell>
          <cell r="AC756">
            <v>111590</v>
          </cell>
          <cell r="AD756">
            <v>111640</v>
          </cell>
          <cell r="AE756">
            <v>110640</v>
          </cell>
          <cell r="AF756">
            <v>110670</v>
          </cell>
          <cell r="AG756">
            <v>110620</v>
          </cell>
          <cell r="AH756">
            <v>110650</v>
          </cell>
        </row>
        <row r="757">
          <cell r="W757">
            <v>116860</v>
          </cell>
          <cell r="X757">
            <v>116910</v>
          </cell>
          <cell r="Y757">
            <v>116860</v>
          </cell>
          <cell r="Z757">
            <v>116890</v>
          </cell>
          <cell r="AA757">
            <v>111650</v>
          </cell>
          <cell r="AB757">
            <v>111650</v>
          </cell>
          <cell r="AC757">
            <v>111520</v>
          </cell>
          <cell r="AD757">
            <v>111540</v>
          </cell>
          <cell r="AE757">
            <v>110640</v>
          </cell>
          <cell r="AF757">
            <v>110730</v>
          </cell>
          <cell r="AG757">
            <v>110640</v>
          </cell>
          <cell r="AH757">
            <v>110680</v>
          </cell>
        </row>
        <row r="758">
          <cell r="W758">
            <v>116900</v>
          </cell>
          <cell r="X758">
            <v>116900</v>
          </cell>
          <cell r="Y758">
            <v>116870</v>
          </cell>
          <cell r="Z758">
            <v>116890</v>
          </cell>
          <cell r="AA758">
            <v>111530</v>
          </cell>
          <cell r="AB758">
            <v>111630</v>
          </cell>
          <cell r="AC758">
            <v>111530</v>
          </cell>
          <cell r="AD758">
            <v>111590</v>
          </cell>
          <cell r="AE758">
            <v>110680</v>
          </cell>
          <cell r="AF758">
            <v>110710</v>
          </cell>
          <cell r="AG758">
            <v>110670</v>
          </cell>
          <cell r="AH758">
            <v>110700</v>
          </cell>
        </row>
        <row r="759">
          <cell r="W759">
            <v>116900</v>
          </cell>
          <cell r="X759">
            <v>117000</v>
          </cell>
          <cell r="Y759">
            <v>116900</v>
          </cell>
          <cell r="Z759">
            <v>116950</v>
          </cell>
          <cell r="AA759">
            <v>111610</v>
          </cell>
          <cell r="AB759">
            <v>111640</v>
          </cell>
          <cell r="AC759">
            <v>111580</v>
          </cell>
          <cell r="AD759">
            <v>111630</v>
          </cell>
          <cell r="AE759">
            <v>110710</v>
          </cell>
          <cell r="AF759">
            <v>110750</v>
          </cell>
          <cell r="AG759">
            <v>110710</v>
          </cell>
          <cell r="AH759">
            <v>110710</v>
          </cell>
        </row>
        <row r="760">
          <cell r="W760">
            <v>116950</v>
          </cell>
          <cell r="X760">
            <v>116960</v>
          </cell>
          <cell r="Y760">
            <v>116880</v>
          </cell>
          <cell r="Z760">
            <v>116940</v>
          </cell>
          <cell r="AA760">
            <v>111630</v>
          </cell>
          <cell r="AB760">
            <v>111640</v>
          </cell>
          <cell r="AC760">
            <v>111580</v>
          </cell>
          <cell r="AD760">
            <v>111620</v>
          </cell>
          <cell r="AE760">
            <v>110720</v>
          </cell>
          <cell r="AF760">
            <v>110760</v>
          </cell>
          <cell r="AG760">
            <v>110720</v>
          </cell>
          <cell r="AH760">
            <v>110760</v>
          </cell>
        </row>
        <row r="761">
          <cell r="W761">
            <v>116930</v>
          </cell>
          <cell r="X761">
            <v>116940</v>
          </cell>
          <cell r="Y761">
            <v>116870</v>
          </cell>
          <cell r="Z761">
            <v>116870</v>
          </cell>
          <cell r="AA761">
            <v>111600</v>
          </cell>
          <cell r="AB761">
            <v>111640</v>
          </cell>
          <cell r="AC761">
            <v>111600</v>
          </cell>
          <cell r="AD761">
            <v>111640</v>
          </cell>
          <cell r="AE761">
            <v>110740</v>
          </cell>
          <cell r="AF761">
            <v>110750</v>
          </cell>
          <cell r="AG761">
            <v>110710</v>
          </cell>
          <cell r="AH761">
            <v>110730</v>
          </cell>
        </row>
        <row r="762">
          <cell r="W762">
            <v>116890</v>
          </cell>
          <cell r="X762">
            <v>116890</v>
          </cell>
          <cell r="Y762">
            <v>116780</v>
          </cell>
          <cell r="Z762">
            <v>116790</v>
          </cell>
          <cell r="AA762">
            <v>111640</v>
          </cell>
          <cell r="AB762">
            <v>111700</v>
          </cell>
          <cell r="AC762">
            <v>111620</v>
          </cell>
          <cell r="AD762">
            <v>111680</v>
          </cell>
          <cell r="AE762">
            <v>110730</v>
          </cell>
          <cell r="AF762">
            <v>110740</v>
          </cell>
          <cell r="AG762">
            <v>110710</v>
          </cell>
          <cell r="AH762">
            <v>110740</v>
          </cell>
        </row>
        <row r="763">
          <cell r="W763">
            <v>116790</v>
          </cell>
          <cell r="X763">
            <v>116830</v>
          </cell>
          <cell r="Y763">
            <v>116780</v>
          </cell>
          <cell r="Z763">
            <v>116790</v>
          </cell>
          <cell r="AA763">
            <v>111670</v>
          </cell>
          <cell r="AB763">
            <v>111740</v>
          </cell>
          <cell r="AC763">
            <v>111630</v>
          </cell>
          <cell r="AD763">
            <v>111630</v>
          </cell>
          <cell r="AE763">
            <v>110750</v>
          </cell>
          <cell r="AF763">
            <v>110760</v>
          </cell>
          <cell r="AG763">
            <v>110730</v>
          </cell>
          <cell r="AH763">
            <v>110760</v>
          </cell>
        </row>
        <row r="764">
          <cell r="W764">
            <v>116780</v>
          </cell>
          <cell r="X764">
            <v>116860</v>
          </cell>
          <cell r="Y764">
            <v>116780</v>
          </cell>
          <cell r="Z764">
            <v>116850</v>
          </cell>
          <cell r="AA764">
            <v>111630</v>
          </cell>
          <cell r="AB764">
            <v>111720</v>
          </cell>
          <cell r="AC764">
            <v>111600</v>
          </cell>
          <cell r="AD764">
            <v>111680</v>
          </cell>
          <cell r="AE764">
            <v>110750</v>
          </cell>
          <cell r="AF764">
            <v>110760</v>
          </cell>
          <cell r="AG764">
            <v>110710</v>
          </cell>
          <cell r="AH764">
            <v>110710</v>
          </cell>
        </row>
        <row r="765">
          <cell r="W765">
            <v>116840</v>
          </cell>
          <cell r="X765">
            <v>116850</v>
          </cell>
          <cell r="Y765">
            <v>116830</v>
          </cell>
          <cell r="Z765">
            <v>116840</v>
          </cell>
          <cell r="AA765">
            <v>111690</v>
          </cell>
          <cell r="AB765">
            <v>111730</v>
          </cell>
          <cell r="AC765">
            <v>111670</v>
          </cell>
          <cell r="AD765">
            <v>111720</v>
          </cell>
          <cell r="AE765">
            <v>110720</v>
          </cell>
          <cell r="AF765">
            <v>110730</v>
          </cell>
          <cell r="AG765">
            <v>110700</v>
          </cell>
          <cell r="AH765">
            <v>110710</v>
          </cell>
        </row>
        <row r="766">
          <cell r="W766">
            <v>116830</v>
          </cell>
          <cell r="X766">
            <v>116850</v>
          </cell>
          <cell r="Y766">
            <v>116830</v>
          </cell>
          <cell r="Z766">
            <v>116830</v>
          </cell>
          <cell r="AA766">
            <v>111710</v>
          </cell>
          <cell r="AB766">
            <v>111860</v>
          </cell>
          <cell r="AC766">
            <v>111700</v>
          </cell>
          <cell r="AD766">
            <v>111800</v>
          </cell>
          <cell r="AE766">
            <v>110690</v>
          </cell>
          <cell r="AF766">
            <v>110720</v>
          </cell>
          <cell r="AG766">
            <v>110690</v>
          </cell>
          <cell r="AH766">
            <v>110710</v>
          </cell>
        </row>
        <row r="767">
          <cell r="W767">
            <v>116830</v>
          </cell>
          <cell r="X767">
            <v>116840</v>
          </cell>
          <cell r="Y767">
            <v>116820</v>
          </cell>
          <cell r="Z767">
            <v>116840</v>
          </cell>
          <cell r="AA767">
            <v>111810</v>
          </cell>
          <cell r="AB767">
            <v>111830</v>
          </cell>
          <cell r="AC767">
            <v>111770</v>
          </cell>
          <cell r="AD767">
            <v>111790</v>
          </cell>
          <cell r="AE767">
            <v>110720</v>
          </cell>
          <cell r="AF767">
            <v>110770</v>
          </cell>
          <cell r="AG767">
            <v>110720</v>
          </cell>
          <cell r="AH767">
            <v>110750</v>
          </cell>
        </row>
        <row r="768">
          <cell r="W768">
            <v>116830</v>
          </cell>
          <cell r="X768">
            <v>116860</v>
          </cell>
          <cell r="Y768">
            <v>116830</v>
          </cell>
          <cell r="Z768">
            <v>116860</v>
          </cell>
          <cell r="AA768">
            <v>111790</v>
          </cell>
          <cell r="AB768">
            <v>111810</v>
          </cell>
          <cell r="AC768">
            <v>111750</v>
          </cell>
          <cell r="AD768">
            <v>111750</v>
          </cell>
          <cell r="AE768">
            <v>110760</v>
          </cell>
          <cell r="AF768">
            <v>110820</v>
          </cell>
          <cell r="AG768">
            <v>110750</v>
          </cell>
          <cell r="AH768">
            <v>110800</v>
          </cell>
        </row>
        <row r="769">
          <cell r="W769">
            <v>116860</v>
          </cell>
          <cell r="X769">
            <v>116860</v>
          </cell>
          <cell r="Y769">
            <v>116840</v>
          </cell>
          <cell r="Z769">
            <v>116840</v>
          </cell>
          <cell r="AA769">
            <v>111760</v>
          </cell>
          <cell r="AB769">
            <v>111760</v>
          </cell>
          <cell r="AC769">
            <v>111680</v>
          </cell>
          <cell r="AD769">
            <v>111690</v>
          </cell>
          <cell r="AE769">
            <v>110790</v>
          </cell>
          <cell r="AF769">
            <v>110800</v>
          </cell>
          <cell r="AG769">
            <v>110750</v>
          </cell>
          <cell r="AH769">
            <v>110750</v>
          </cell>
        </row>
        <row r="770">
          <cell r="W770">
            <v>116840</v>
          </cell>
          <cell r="X770">
            <v>116870</v>
          </cell>
          <cell r="Y770">
            <v>116840</v>
          </cell>
          <cell r="Z770">
            <v>116870</v>
          </cell>
          <cell r="AA770">
            <v>111700</v>
          </cell>
          <cell r="AB770">
            <v>111780</v>
          </cell>
          <cell r="AC770">
            <v>111700</v>
          </cell>
          <cell r="AD770">
            <v>111770</v>
          </cell>
          <cell r="AE770">
            <v>110760</v>
          </cell>
          <cell r="AF770">
            <v>110790</v>
          </cell>
          <cell r="AG770">
            <v>110760</v>
          </cell>
          <cell r="AH770">
            <v>110770</v>
          </cell>
        </row>
        <row r="771">
          <cell r="W771">
            <v>116860</v>
          </cell>
          <cell r="X771">
            <v>116880</v>
          </cell>
          <cell r="Y771">
            <v>116860</v>
          </cell>
          <cell r="Z771">
            <v>116880</v>
          </cell>
          <cell r="AA771">
            <v>111760</v>
          </cell>
          <cell r="AB771">
            <v>111820</v>
          </cell>
          <cell r="AC771">
            <v>111760</v>
          </cell>
          <cell r="AD771">
            <v>111820</v>
          </cell>
          <cell r="AE771">
            <v>110770</v>
          </cell>
          <cell r="AF771">
            <v>110770</v>
          </cell>
          <cell r="AG771">
            <v>110720</v>
          </cell>
          <cell r="AH771">
            <v>110730</v>
          </cell>
        </row>
        <row r="772">
          <cell r="W772">
            <v>116870</v>
          </cell>
          <cell r="X772">
            <v>116880</v>
          </cell>
          <cell r="Y772">
            <v>116860</v>
          </cell>
          <cell r="Z772">
            <v>116880</v>
          </cell>
          <cell r="AA772">
            <v>111820</v>
          </cell>
          <cell r="AB772">
            <v>111840</v>
          </cell>
          <cell r="AC772">
            <v>111740</v>
          </cell>
          <cell r="AD772">
            <v>111760</v>
          </cell>
          <cell r="AE772">
            <v>110730</v>
          </cell>
          <cell r="AF772">
            <v>110770</v>
          </cell>
          <cell r="AG772">
            <v>110720</v>
          </cell>
          <cell r="AH772">
            <v>110730</v>
          </cell>
        </row>
        <row r="773">
          <cell r="W773">
            <v>116880</v>
          </cell>
          <cell r="X773">
            <v>116890</v>
          </cell>
          <cell r="Y773">
            <v>116880</v>
          </cell>
          <cell r="Z773">
            <v>116890</v>
          </cell>
          <cell r="AA773">
            <v>111770</v>
          </cell>
          <cell r="AB773">
            <v>111800</v>
          </cell>
          <cell r="AC773">
            <v>111710</v>
          </cell>
          <cell r="AD773">
            <v>111710</v>
          </cell>
          <cell r="AE773">
            <v>110740</v>
          </cell>
          <cell r="AF773">
            <v>110740</v>
          </cell>
          <cell r="AG773">
            <v>110700</v>
          </cell>
          <cell r="AH773">
            <v>110720</v>
          </cell>
        </row>
        <row r="774">
          <cell r="W774">
            <v>116870</v>
          </cell>
          <cell r="X774">
            <v>116900</v>
          </cell>
          <cell r="Y774">
            <v>116870</v>
          </cell>
          <cell r="Z774">
            <v>116900</v>
          </cell>
          <cell r="AA774">
            <v>111740</v>
          </cell>
          <cell r="AB774">
            <v>111800</v>
          </cell>
          <cell r="AC774">
            <v>111720</v>
          </cell>
          <cell r="AD774">
            <v>111800</v>
          </cell>
          <cell r="AE774">
            <v>110710</v>
          </cell>
          <cell r="AF774">
            <v>110740</v>
          </cell>
          <cell r="AG774">
            <v>110710</v>
          </cell>
          <cell r="AH774">
            <v>110740</v>
          </cell>
        </row>
        <row r="775">
          <cell r="W775">
            <v>116900</v>
          </cell>
          <cell r="X775">
            <v>116900</v>
          </cell>
          <cell r="Y775">
            <v>116870</v>
          </cell>
          <cell r="Z775">
            <v>116870</v>
          </cell>
          <cell r="AA775">
            <v>111800</v>
          </cell>
          <cell r="AB775">
            <v>111850</v>
          </cell>
          <cell r="AC775">
            <v>111780</v>
          </cell>
          <cell r="AD775">
            <v>111830</v>
          </cell>
          <cell r="AE775">
            <v>110720</v>
          </cell>
          <cell r="AF775">
            <v>110730</v>
          </cell>
          <cell r="AG775">
            <v>110710</v>
          </cell>
          <cell r="AH775">
            <v>110720</v>
          </cell>
        </row>
        <row r="776">
          <cell r="W776">
            <v>116870</v>
          </cell>
          <cell r="X776">
            <v>116870</v>
          </cell>
          <cell r="Y776">
            <v>116840</v>
          </cell>
          <cell r="Z776">
            <v>116860</v>
          </cell>
          <cell r="AA776">
            <v>111840</v>
          </cell>
          <cell r="AB776">
            <v>111920</v>
          </cell>
          <cell r="AC776">
            <v>111820</v>
          </cell>
          <cell r="AD776">
            <v>111860</v>
          </cell>
          <cell r="AE776">
            <v>110710</v>
          </cell>
          <cell r="AF776">
            <v>110730</v>
          </cell>
          <cell r="AG776">
            <v>110680</v>
          </cell>
          <cell r="AH776">
            <v>110730</v>
          </cell>
        </row>
        <row r="777">
          <cell r="W777">
            <v>116860</v>
          </cell>
          <cell r="X777">
            <v>116910</v>
          </cell>
          <cell r="Y777">
            <v>116860</v>
          </cell>
          <cell r="Z777">
            <v>116910</v>
          </cell>
          <cell r="AA777">
            <v>111870</v>
          </cell>
          <cell r="AB777">
            <v>111870</v>
          </cell>
          <cell r="AC777">
            <v>111770</v>
          </cell>
          <cell r="AD777">
            <v>111780</v>
          </cell>
          <cell r="AE777">
            <v>110740</v>
          </cell>
          <cell r="AF777">
            <v>110740</v>
          </cell>
          <cell r="AG777">
            <v>110670</v>
          </cell>
          <cell r="AH777">
            <v>110690</v>
          </cell>
        </row>
        <row r="778">
          <cell r="W778">
            <v>116920</v>
          </cell>
          <cell r="X778">
            <v>116930</v>
          </cell>
          <cell r="Y778">
            <v>116910</v>
          </cell>
          <cell r="Z778">
            <v>116910</v>
          </cell>
          <cell r="AA778">
            <v>111780</v>
          </cell>
          <cell r="AB778">
            <v>111800</v>
          </cell>
          <cell r="AC778">
            <v>111730</v>
          </cell>
          <cell r="AD778">
            <v>111730</v>
          </cell>
          <cell r="AE778">
            <v>110690</v>
          </cell>
          <cell r="AF778">
            <v>110720</v>
          </cell>
          <cell r="AG778">
            <v>110690</v>
          </cell>
          <cell r="AH778">
            <v>110690</v>
          </cell>
        </row>
        <row r="779">
          <cell r="W779">
            <v>116910</v>
          </cell>
          <cell r="X779">
            <v>116910</v>
          </cell>
          <cell r="Y779">
            <v>116880</v>
          </cell>
          <cell r="Z779">
            <v>116900</v>
          </cell>
          <cell r="AA779">
            <v>111730</v>
          </cell>
          <cell r="AB779">
            <v>111790</v>
          </cell>
          <cell r="AC779">
            <v>111720</v>
          </cell>
          <cell r="AD779">
            <v>111770</v>
          </cell>
          <cell r="AE779">
            <v>110680</v>
          </cell>
          <cell r="AF779">
            <v>110730</v>
          </cell>
          <cell r="AG779">
            <v>110680</v>
          </cell>
          <cell r="AH779">
            <v>110720</v>
          </cell>
        </row>
        <row r="780">
          <cell r="W780">
            <v>116900</v>
          </cell>
          <cell r="X780">
            <v>116910</v>
          </cell>
          <cell r="Y780">
            <v>116900</v>
          </cell>
          <cell r="Z780">
            <v>116910</v>
          </cell>
          <cell r="AA780">
            <v>111760</v>
          </cell>
          <cell r="AB780">
            <v>111840</v>
          </cell>
          <cell r="AC780">
            <v>111760</v>
          </cell>
          <cell r="AD780">
            <v>111770</v>
          </cell>
          <cell r="AE780">
            <v>110720</v>
          </cell>
          <cell r="AF780">
            <v>110720</v>
          </cell>
          <cell r="AG780">
            <v>110700</v>
          </cell>
          <cell r="AH780">
            <v>110710</v>
          </cell>
        </row>
        <row r="781">
          <cell r="W781">
            <v>116910</v>
          </cell>
          <cell r="X781">
            <v>116920</v>
          </cell>
          <cell r="Y781">
            <v>116890</v>
          </cell>
          <cell r="Z781">
            <v>116910</v>
          </cell>
          <cell r="AA781">
            <v>111790</v>
          </cell>
          <cell r="AB781">
            <v>111860</v>
          </cell>
          <cell r="AC781">
            <v>111780</v>
          </cell>
          <cell r="AD781">
            <v>111830</v>
          </cell>
          <cell r="AE781">
            <v>110700</v>
          </cell>
          <cell r="AF781">
            <v>110700</v>
          </cell>
          <cell r="AG781">
            <v>110690</v>
          </cell>
          <cell r="AH781">
            <v>110690</v>
          </cell>
        </row>
        <row r="782">
          <cell r="W782">
            <v>116910</v>
          </cell>
          <cell r="X782">
            <v>116990</v>
          </cell>
          <cell r="Y782">
            <v>116900</v>
          </cell>
          <cell r="Z782">
            <v>116970</v>
          </cell>
          <cell r="AA782">
            <v>111840</v>
          </cell>
          <cell r="AB782">
            <v>111880</v>
          </cell>
          <cell r="AC782">
            <v>111820</v>
          </cell>
          <cell r="AD782">
            <v>111880</v>
          </cell>
          <cell r="AE782">
            <v>110680</v>
          </cell>
          <cell r="AF782">
            <v>110730</v>
          </cell>
          <cell r="AG782">
            <v>110670</v>
          </cell>
          <cell r="AH782">
            <v>110710</v>
          </cell>
        </row>
        <row r="783">
          <cell r="W783">
            <v>116960</v>
          </cell>
          <cell r="X783">
            <v>117180</v>
          </cell>
          <cell r="Y783">
            <v>116960</v>
          </cell>
          <cell r="Z783">
            <v>117150</v>
          </cell>
          <cell r="AA783">
            <v>111890</v>
          </cell>
          <cell r="AB783">
            <v>111890</v>
          </cell>
          <cell r="AC783">
            <v>111840</v>
          </cell>
          <cell r="AD783">
            <v>111850</v>
          </cell>
          <cell r="AE783">
            <v>110720</v>
          </cell>
          <cell r="AF783">
            <v>110740</v>
          </cell>
          <cell r="AG783">
            <v>110710</v>
          </cell>
          <cell r="AH783">
            <v>110710</v>
          </cell>
        </row>
        <row r="784">
          <cell r="W784">
            <v>117140</v>
          </cell>
          <cell r="X784">
            <v>117190</v>
          </cell>
          <cell r="Y784">
            <v>117090</v>
          </cell>
          <cell r="Z784">
            <v>117090</v>
          </cell>
          <cell r="AA784">
            <v>111850</v>
          </cell>
          <cell r="AB784">
            <v>111870</v>
          </cell>
          <cell r="AC784">
            <v>111830</v>
          </cell>
          <cell r="AD784">
            <v>111860</v>
          </cell>
          <cell r="AE784">
            <v>110700</v>
          </cell>
          <cell r="AF784">
            <v>110710</v>
          </cell>
          <cell r="AG784">
            <v>110690</v>
          </cell>
          <cell r="AH784">
            <v>110690</v>
          </cell>
        </row>
        <row r="785">
          <cell r="W785">
            <v>117100</v>
          </cell>
          <cell r="X785">
            <v>117180</v>
          </cell>
          <cell r="Y785">
            <v>117100</v>
          </cell>
          <cell r="Z785">
            <v>117170</v>
          </cell>
          <cell r="AA785">
            <v>111860</v>
          </cell>
          <cell r="AB785">
            <v>111890</v>
          </cell>
          <cell r="AC785">
            <v>111780</v>
          </cell>
          <cell r="AD785">
            <v>111780</v>
          </cell>
          <cell r="AE785">
            <v>110680</v>
          </cell>
          <cell r="AF785">
            <v>110710</v>
          </cell>
          <cell r="AG785">
            <v>110680</v>
          </cell>
          <cell r="AH785">
            <v>110700</v>
          </cell>
        </row>
        <row r="786">
          <cell r="W786">
            <v>117180</v>
          </cell>
          <cell r="X786">
            <v>117290</v>
          </cell>
          <cell r="Y786">
            <v>117170</v>
          </cell>
          <cell r="Z786">
            <v>117250</v>
          </cell>
          <cell r="AA786">
            <v>111780</v>
          </cell>
          <cell r="AB786">
            <v>111830</v>
          </cell>
          <cell r="AC786">
            <v>111760</v>
          </cell>
          <cell r="AD786">
            <v>111800</v>
          </cell>
          <cell r="AE786">
            <v>110700</v>
          </cell>
          <cell r="AF786">
            <v>110730</v>
          </cell>
          <cell r="AG786">
            <v>110680</v>
          </cell>
          <cell r="AH786">
            <v>110710</v>
          </cell>
        </row>
        <row r="787">
          <cell r="W787">
            <v>117250</v>
          </cell>
          <cell r="X787">
            <v>117290</v>
          </cell>
          <cell r="Y787">
            <v>117240</v>
          </cell>
          <cell r="Z787">
            <v>117250</v>
          </cell>
          <cell r="AA787">
            <v>111800</v>
          </cell>
          <cell r="AB787">
            <v>111820</v>
          </cell>
          <cell r="AC787">
            <v>111780</v>
          </cell>
          <cell r="AD787">
            <v>111800</v>
          </cell>
          <cell r="AE787">
            <v>110720</v>
          </cell>
          <cell r="AF787">
            <v>110830</v>
          </cell>
          <cell r="AG787">
            <v>110720</v>
          </cell>
          <cell r="AH787">
            <v>110790</v>
          </cell>
        </row>
        <row r="788">
          <cell r="W788">
            <v>117250</v>
          </cell>
          <cell r="X788">
            <v>117340</v>
          </cell>
          <cell r="Y788">
            <v>117250</v>
          </cell>
          <cell r="Z788">
            <v>117320</v>
          </cell>
          <cell r="AA788">
            <v>111820</v>
          </cell>
          <cell r="AB788">
            <v>111820</v>
          </cell>
          <cell r="AC788">
            <v>111790</v>
          </cell>
          <cell r="AD788">
            <v>111810</v>
          </cell>
          <cell r="AE788">
            <v>110780</v>
          </cell>
          <cell r="AF788">
            <v>110800</v>
          </cell>
          <cell r="AG788">
            <v>110750</v>
          </cell>
          <cell r="AH788">
            <v>110750</v>
          </cell>
        </row>
        <row r="789">
          <cell r="W789">
            <v>117310</v>
          </cell>
          <cell r="X789">
            <v>117380</v>
          </cell>
          <cell r="Y789">
            <v>117290</v>
          </cell>
          <cell r="Z789">
            <v>117370</v>
          </cell>
          <cell r="AA789">
            <v>111800</v>
          </cell>
          <cell r="AB789">
            <v>111800</v>
          </cell>
          <cell r="AC789">
            <v>111730</v>
          </cell>
          <cell r="AD789">
            <v>111750</v>
          </cell>
          <cell r="AE789">
            <v>110760</v>
          </cell>
          <cell r="AF789">
            <v>110820</v>
          </cell>
          <cell r="AG789">
            <v>110760</v>
          </cell>
          <cell r="AH789">
            <v>110770</v>
          </cell>
        </row>
        <row r="790">
          <cell r="W790">
            <v>117380</v>
          </cell>
          <cell r="X790">
            <v>117380</v>
          </cell>
          <cell r="Y790">
            <v>117250</v>
          </cell>
          <cell r="Z790">
            <v>117260</v>
          </cell>
          <cell r="AA790">
            <v>111740</v>
          </cell>
          <cell r="AB790">
            <v>111810</v>
          </cell>
          <cell r="AC790">
            <v>111730</v>
          </cell>
          <cell r="AD790">
            <v>111800</v>
          </cell>
          <cell r="AE790">
            <v>110770</v>
          </cell>
          <cell r="AF790">
            <v>110780</v>
          </cell>
          <cell r="AG790">
            <v>110740</v>
          </cell>
          <cell r="AH790">
            <v>110760</v>
          </cell>
        </row>
        <row r="791">
          <cell r="W791">
            <v>117260</v>
          </cell>
          <cell r="X791">
            <v>117280</v>
          </cell>
          <cell r="Y791">
            <v>117210</v>
          </cell>
          <cell r="Z791">
            <v>117250</v>
          </cell>
          <cell r="AA791">
            <v>111790</v>
          </cell>
          <cell r="AB791">
            <v>111790</v>
          </cell>
          <cell r="AC791">
            <v>111720</v>
          </cell>
          <cell r="AD791">
            <v>111740</v>
          </cell>
          <cell r="AE791">
            <v>110750</v>
          </cell>
          <cell r="AF791">
            <v>110760</v>
          </cell>
          <cell r="AG791">
            <v>110730</v>
          </cell>
          <cell r="AH791">
            <v>110730</v>
          </cell>
        </row>
        <row r="792">
          <cell r="W792">
            <v>117260</v>
          </cell>
          <cell r="X792">
            <v>117300</v>
          </cell>
          <cell r="Y792">
            <v>117200</v>
          </cell>
          <cell r="Z792">
            <v>117270</v>
          </cell>
          <cell r="AA792">
            <v>111730</v>
          </cell>
          <cell r="AB792">
            <v>111760</v>
          </cell>
          <cell r="AC792">
            <v>111720</v>
          </cell>
          <cell r="AD792">
            <v>111730</v>
          </cell>
          <cell r="AE792">
            <v>110730</v>
          </cell>
          <cell r="AF792">
            <v>110790</v>
          </cell>
          <cell r="AG792">
            <v>110730</v>
          </cell>
          <cell r="AH792">
            <v>110770</v>
          </cell>
        </row>
        <row r="793">
          <cell r="W793">
            <v>117270</v>
          </cell>
          <cell r="X793">
            <v>117280</v>
          </cell>
          <cell r="Y793">
            <v>117260</v>
          </cell>
          <cell r="Z793">
            <v>117270</v>
          </cell>
          <cell r="AA793">
            <v>111720</v>
          </cell>
          <cell r="AB793">
            <v>111760</v>
          </cell>
          <cell r="AC793">
            <v>111720</v>
          </cell>
          <cell r="AD793">
            <v>111760</v>
          </cell>
          <cell r="AE793">
            <v>110770</v>
          </cell>
          <cell r="AF793">
            <v>110790</v>
          </cell>
          <cell r="AG793">
            <v>110740</v>
          </cell>
          <cell r="AH793">
            <v>110750</v>
          </cell>
        </row>
        <row r="794">
          <cell r="W794">
            <v>117260</v>
          </cell>
          <cell r="X794">
            <v>117290</v>
          </cell>
          <cell r="Y794">
            <v>117260</v>
          </cell>
          <cell r="Z794">
            <v>117270</v>
          </cell>
          <cell r="AA794">
            <v>111770</v>
          </cell>
          <cell r="AB794">
            <v>111790</v>
          </cell>
          <cell r="AC794">
            <v>111740</v>
          </cell>
          <cell r="AD794">
            <v>111750</v>
          </cell>
          <cell r="AE794">
            <v>110760</v>
          </cell>
          <cell r="AF794">
            <v>110770</v>
          </cell>
          <cell r="AG794">
            <v>110760</v>
          </cell>
          <cell r="AH794">
            <v>110760</v>
          </cell>
        </row>
        <row r="795">
          <cell r="W795">
            <v>117270</v>
          </cell>
          <cell r="X795">
            <v>117310</v>
          </cell>
          <cell r="Y795">
            <v>117270</v>
          </cell>
          <cell r="Z795">
            <v>117310</v>
          </cell>
          <cell r="AA795">
            <v>111760</v>
          </cell>
          <cell r="AB795">
            <v>111790</v>
          </cell>
          <cell r="AC795">
            <v>111750</v>
          </cell>
          <cell r="AD795">
            <v>111770</v>
          </cell>
          <cell r="AE795">
            <v>110770</v>
          </cell>
          <cell r="AF795">
            <v>110810</v>
          </cell>
          <cell r="AG795">
            <v>110770</v>
          </cell>
          <cell r="AH795">
            <v>110810</v>
          </cell>
        </row>
        <row r="796">
          <cell r="W796">
            <v>117320</v>
          </cell>
          <cell r="X796">
            <v>117500</v>
          </cell>
          <cell r="Y796">
            <v>117310</v>
          </cell>
          <cell r="Z796">
            <v>117410</v>
          </cell>
          <cell r="AA796">
            <v>111760</v>
          </cell>
          <cell r="AB796">
            <v>111810</v>
          </cell>
          <cell r="AC796">
            <v>111760</v>
          </cell>
          <cell r="AD796">
            <v>111780</v>
          </cell>
          <cell r="AE796">
            <v>110790</v>
          </cell>
          <cell r="AF796">
            <v>110870</v>
          </cell>
          <cell r="AG796">
            <v>110790</v>
          </cell>
          <cell r="AH796">
            <v>110870</v>
          </cell>
        </row>
        <row r="797">
          <cell r="W797">
            <v>117390</v>
          </cell>
          <cell r="X797">
            <v>117410</v>
          </cell>
          <cell r="Y797">
            <v>117360</v>
          </cell>
          <cell r="Z797">
            <v>117370</v>
          </cell>
          <cell r="AA797">
            <v>111790</v>
          </cell>
          <cell r="AB797">
            <v>111800</v>
          </cell>
          <cell r="AC797">
            <v>111750</v>
          </cell>
          <cell r="AD797">
            <v>111760</v>
          </cell>
          <cell r="AE797">
            <v>110860</v>
          </cell>
          <cell r="AF797">
            <v>110880</v>
          </cell>
          <cell r="AG797">
            <v>110830</v>
          </cell>
          <cell r="AH797">
            <v>110850</v>
          </cell>
        </row>
        <row r="798">
          <cell r="W798">
            <v>117370</v>
          </cell>
          <cell r="X798">
            <v>117390</v>
          </cell>
          <cell r="Y798">
            <v>117360</v>
          </cell>
          <cell r="Z798">
            <v>117370</v>
          </cell>
          <cell r="AA798">
            <v>111740</v>
          </cell>
          <cell r="AB798">
            <v>111780</v>
          </cell>
          <cell r="AC798">
            <v>111740</v>
          </cell>
          <cell r="AD798">
            <v>111770</v>
          </cell>
          <cell r="AE798">
            <v>110860</v>
          </cell>
          <cell r="AF798">
            <v>110860</v>
          </cell>
          <cell r="AG798">
            <v>110830</v>
          </cell>
          <cell r="AH798">
            <v>110830</v>
          </cell>
        </row>
        <row r="799">
          <cell r="W799">
            <v>117370</v>
          </cell>
          <cell r="X799">
            <v>117390</v>
          </cell>
          <cell r="Y799">
            <v>117310</v>
          </cell>
          <cell r="Z799">
            <v>117340</v>
          </cell>
          <cell r="AA799">
            <v>111770</v>
          </cell>
          <cell r="AB799">
            <v>111800</v>
          </cell>
          <cell r="AC799">
            <v>111770</v>
          </cell>
          <cell r="AD799">
            <v>111800</v>
          </cell>
          <cell r="AE799">
            <v>110850</v>
          </cell>
          <cell r="AF799">
            <v>110860</v>
          </cell>
          <cell r="AG799">
            <v>110810</v>
          </cell>
          <cell r="AH799">
            <v>110830</v>
          </cell>
        </row>
        <row r="800">
          <cell r="W800">
            <v>117320</v>
          </cell>
          <cell r="X800">
            <v>117340</v>
          </cell>
          <cell r="Y800">
            <v>117310</v>
          </cell>
          <cell r="Z800">
            <v>117340</v>
          </cell>
          <cell r="AA800">
            <v>111790</v>
          </cell>
          <cell r="AB800">
            <v>111800</v>
          </cell>
          <cell r="AC800">
            <v>111780</v>
          </cell>
          <cell r="AD800">
            <v>111790</v>
          </cell>
          <cell r="AE800">
            <v>110810</v>
          </cell>
          <cell r="AF800">
            <v>110830</v>
          </cell>
          <cell r="AG800">
            <v>110780</v>
          </cell>
          <cell r="AH800">
            <v>110780</v>
          </cell>
        </row>
        <row r="801">
          <cell r="W801">
            <v>117330</v>
          </cell>
          <cell r="X801">
            <v>117340</v>
          </cell>
          <cell r="Y801">
            <v>117310</v>
          </cell>
          <cell r="Z801">
            <v>117320</v>
          </cell>
          <cell r="AA801">
            <v>111790</v>
          </cell>
          <cell r="AB801">
            <v>111810</v>
          </cell>
          <cell r="AC801">
            <v>111790</v>
          </cell>
          <cell r="AD801">
            <v>111800</v>
          </cell>
          <cell r="AE801">
            <v>110780</v>
          </cell>
          <cell r="AF801">
            <v>110780</v>
          </cell>
          <cell r="AG801">
            <v>110730</v>
          </cell>
          <cell r="AH801">
            <v>110730</v>
          </cell>
        </row>
        <row r="802">
          <cell r="W802">
            <v>117310</v>
          </cell>
          <cell r="X802">
            <v>117320</v>
          </cell>
          <cell r="Y802">
            <v>117280</v>
          </cell>
          <cell r="Z802">
            <v>117280</v>
          </cell>
          <cell r="AA802">
            <v>111790</v>
          </cell>
          <cell r="AB802">
            <v>111840</v>
          </cell>
          <cell r="AC802">
            <v>111790</v>
          </cell>
          <cell r="AD802">
            <v>111820</v>
          </cell>
          <cell r="AE802">
            <v>110740</v>
          </cell>
          <cell r="AF802">
            <v>110750</v>
          </cell>
          <cell r="AG802">
            <v>110710</v>
          </cell>
          <cell r="AH802">
            <v>110720</v>
          </cell>
        </row>
        <row r="803">
          <cell r="W803">
            <v>117280</v>
          </cell>
          <cell r="X803">
            <v>117310</v>
          </cell>
          <cell r="Y803">
            <v>117270</v>
          </cell>
          <cell r="Z803">
            <v>117280</v>
          </cell>
          <cell r="AA803">
            <v>111830</v>
          </cell>
          <cell r="AB803">
            <v>111850</v>
          </cell>
          <cell r="AC803">
            <v>111820</v>
          </cell>
          <cell r="AD803">
            <v>111850</v>
          </cell>
          <cell r="AE803">
            <v>110710</v>
          </cell>
          <cell r="AF803">
            <v>110710</v>
          </cell>
          <cell r="AG803">
            <v>110660</v>
          </cell>
          <cell r="AH803">
            <v>110690</v>
          </cell>
        </row>
        <row r="804">
          <cell r="W804">
            <v>117280</v>
          </cell>
          <cell r="X804">
            <v>117350</v>
          </cell>
          <cell r="Y804">
            <v>117260</v>
          </cell>
          <cell r="Z804">
            <v>117320</v>
          </cell>
          <cell r="AA804">
            <v>111840</v>
          </cell>
          <cell r="AB804">
            <v>111850</v>
          </cell>
          <cell r="AC804">
            <v>111780</v>
          </cell>
          <cell r="AD804">
            <v>111790</v>
          </cell>
          <cell r="AE804">
            <v>110680</v>
          </cell>
          <cell r="AF804">
            <v>110700</v>
          </cell>
          <cell r="AG804">
            <v>110650</v>
          </cell>
          <cell r="AH804">
            <v>110680</v>
          </cell>
        </row>
        <row r="805">
          <cell r="W805">
            <v>117320</v>
          </cell>
          <cell r="X805">
            <v>117340</v>
          </cell>
          <cell r="Y805">
            <v>117290</v>
          </cell>
          <cell r="Z805">
            <v>117300</v>
          </cell>
          <cell r="AA805">
            <v>111790</v>
          </cell>
          <cell r="AB805">
            <v>111810</v>
          </cell>
          <cell r="AC805">
            <v>111750</v>
          </cell>
          <cell r="AD805">
            <v>111750</v>
          </cell>
          <cell r="AE805">
            <v>110670</v>
          </cell>
          <cell r="AF805">
            <v>110710</v>
          </cell>
          <cell r="AG805">
            <v>110650</v>
          </cell>
          <cell r="AH805">
            <v>110700</v>
          </cell>
        </row>
        <row r="806">
          <cell r="W806">
            <v>117300</v>
          </cell>
          <cell r="X806">
            <v>117300</v>
          </cell>
          <cell r="Y806">
            <v>117270</v>
          </cell>
          <cell r="Z806">
            <v>117290</v>
          </cell>
          <cell r="AA806">
            <v>111760</v>
          </cell>
          <cell r="AB806">
            <v>111860</v>
          </cell>
          <cell r="AC806">
            <v>111740</v>
          </cell>
          <cell r="AD806">
            <v>111820</v>
          </cell>
          <cell r="AE806">
            <v>110680</v>
          </cell>
          <cell r="AF806">
            <v>110720</v>
          </cell>
          <cell r="AG806">
            <v>110610</v>
          </cell>
          <cell r="AH806">
            <v>110630</v>
          </cell>
        </row>
        <row r="807">
          <cell r="W807">
            <v>117290</v>
          </cell>
          <cell r="X807">
            <v>117300</v>
          </cell>
          <cell r="Y807">
            <v>117260</v>
          </cell>
          <cell r="Z807">
            <v>117300</v>
          </cell>
        </row>
        <row r="808">
          <cell r="W808">
            <v>117300</v>
          </cell>
          <cell r="X808">
            <v>117330</v>
          </cell>
          <cell r="Y808">
            <v>117300</v>
          </cell>
          <cell r="Z808">
            <v>117330</v>
          </cell>
        </row>
        <row r="809">
          <cell r="W809">
            <v>117320</v>
          </cell>
          <cell r="X809">
            <v>117420</v>
          </cell>
          <cell r="Y809">
            <v>117320</v>
          </cell>
          <cell r="Z809">
            <v>117340</v>
          </cell>
        </row>
        <row r="810">
          <cell r="W810">
            <v>117360</v>
          </cell>
          <cell r="X810">
            <v>117400</v>
          </cell>
          <cell r="Y810">
            <v>117320</v>
          </cell>
          <cell r="Z810">
            <v>117380</v>
          </cell>
        </row>
        <row r="811">
          <cell r="W811">
            <v>117370</v>
          </cell>
          <cell r="X811">
            <v>117450</v>
          </cell>
          <cell r="Y811">
            <v>117290</v>
          </cell>
          <cell r="Z811">
            <v>117320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BE21-7E70-4960-B0DA-C278997BDCBF}">
  <sheetPr codeName="Лист1"/>
  <dimension ref="A1:Y15"/>
  <sheetViews>
    <sheetView zoomScale="175" zoomScaleNormal="175" workbookViewId="0">
      <selection activeCell="V11" sqref="V11"/>
    </sheetView>
  </sheetViews>
  <sheetFormatPr defaultRowHeight="13.5" customHeight="1" x14ac:dyDescent="0.25"/>
  <cols>
    <col min="1" max="1" width="5.42578125" customWidth="1"/>
    <col min="2" max="2" width="11.85546875" customWidth="1"/>
    <col min="3" max="3" width="7.85546875" customWidth="1"/>
    <col min="4" max="4" width="4.140625" customWidth="1"/>
    <col min="6" max="6" width="6" customWidth="1"/>
    <col min="7" max="25" width="2" customWidth="1"/>
    <col min="26" max="27" width="9.140625" customWidth="1"/>
  </cols>
  <sheetData>
    <row r="1" spans="1:25" ht="13.5" customHeight="1" x14ac:dyDescent="0.25">
      <c r="B1" t="s">
        <v>0</v>
      </c>
      <c r="C1">
        <v>12307</v>
      </c>
    </row>
    <row r="2" spans="1:25" ht="13.5" customHeight="1" x14ac:dyDescent="0.25">
      <c r="B2" t="s">
        <v>1</v>
      </c>
      <c r="C2">
        <v>16249</v>
      </c>
    </row>
    <row r="3" spans="1:25" ht="13.5" customHeight="1" x14ac:dyDescent="0.25">
      <c r="G3">
        <f>POWER(2,15)</f>
        <v>32768</v>
      </c>
      <c r="H3">
        <f>POWER(2,14)</f>
        <v>16384</v>
      </c>
      <c r="I3">
        <f>POWER(2,13)</f>
        <v>8192</v>
      </c>
      <c r="J3">
        <f>POWER(2,12)</f>
        <v>4096</v>
      </c>
      <c r="L3">
        <f>POWER(2,11)</f>
        <v>2048</v>
      </c>
      <c r="M3">
        <f>POWER(2,10)</f>
        <v>1024</v>
      </c>
      <c r="N3">
        <f>POWER(2,9)</f>
        <v>512</v>
      </c>
      <c r="O3">
        <f>POWER(2,8)</f>
        <v>256</v>
      </c>
      <c r="Q3">
        <f>POWER(2,7)</f>
        <v>128</v>
      </c>
      <c r="R3">
        <f>POWER(2,6)</f>
        <v>64</v>
      </c>
      <c r="S3">
        <f>POWER(2,5)</f>
        <v>32</v>
      </c>
      <c r="T3">
        <f>POWER(2,4)</f>
        <v>16</v>
      </c>
      <c r="V3">
        <f>POWER(2,3)</f>
        <v>8</v>
      </c>
      <c r="W3">
        <f>POWER(2,2)</f>
        <v>4</v>
      </c>
      <c r="X3">
        <f>POWER(2,1)</f>
        <v>2</v>
      </c>
      <c r="Y3">
        <f>POWER(2,0)</f>
        <v>1</v>
      </c>
    </row>
    <row r="4" spans="1:25" ht="13.5" customHeight="1" x14ac:dyDescent="0.25">
      <c r="A4" t="s">
        <v>34</v>
      </c>
      <c r="B4" t="s">
        <v>0</v>
      </c>
      <c r="C4">
        <f>C1</f>
        <v>12307</v>
      </c>
      <c r="E4" t="s">
        <v>21</v>
      </c>
      <c r="G4">
        <f t="shared" ref="G4:G15" si="0">IF($C4&gt;=0,IF($C4-G$3&gt;=0,1,0),IF((65536+$C4)-G$3&gt;=0,1,0))</f>
        <v>0</v>
      </c>
      <c r="H4">
        <f t="shared" ref="H4:H15" si="1">IF($C4&gt;=0,IF($C4-$G$3*$G4-H$3&gt;=0,1,0),IF((65536+$C4)-$G$3*$G4-H$3&gt;=0,1,0))</f>
        <v>0</v>
      </c>
      <c r="I4">
        <f t="shared" ref="I4:I15" si="2">IF($C4&gt;=0,IF($C4-$G$3*$G4-$H$3*$H4-I$3&gt;=0,1,0),IF((65536+$C4)-$G$3*$G4-$H$3*$H4-I$3&gt;=0,1,0))</f>
        <v>1</v>
      </c>
      <c r="J4">
        <f t="shared" ref="J4:J15" si="3">IF($C4&gt;=0,IF($C4-$G$3*$G4-$H$3*$H4-$I$3*$I4-J$3&gt;=0,1,0),IF((65536+$C4)-$G$3*$G4-$H$3*$H4-$I$3*$I4-J$3&gt;=0,1,0))</f>
        <v>1</v>
      </c>
      <c r="K4" t="s">
        <v>18</v>
      </c>
      <c r="L4">
        <f t="shared" ref="L4:L15" si="4">IF($C4&gt;=0,IF($C4-$G$3*$G4-$H$3*$H4-$I$3*$I4-$J$3*$J4-L$3&gt;=0,1,0),IF((65536+$C4)-$G$3*$G4-$H$3*$H4-$I$3*$I4-$J$3*$J4-L$3&gt;=0,1,0))</f>
        <v>0</v>
      </c>
      <c r="M4">
        <f t="shared" ref="M4:M15" si="5">IF($C4&gt;=0,IF($C4-$G$3*$G4-$H$3*$H4-$I$3*$I4-$J$3*$J4-$L$3*$L4-M$3&gt;=0,1,0),IF((65536+$C4)-$G$3*$G4-$H$3*$H4-$I$3*$I4-$J$3*$J4-$L$3*$L4-M$3&gt;=0,1,0))</f>
        <v>0</v>
      </c>
      <c r="N4">
        <f t="shared" ref="N4:N15" si="6">IF($C4&gt;=0,IF($C4-$G$3*$G4-$H$3*$H4-$I$3*$I4-$J$3*$J4-$L$3*$L4-$M$3*$M4-N$3&gt;=0,1,0),IF((65536+$C4)-$G$3*$G4-$H$3*$H4-$I$3*$I4-$J$3*$J4-$L$3*$L4-$M$3*$M4-N$3&gt;=0,1,0))</f>
        <v>0</v>
      </c>
      <c r="O4">
        <f t="shared" ref="O4:O15" si="7">IF($C4&gt;=0,IF($C4-$G$3*$G4-$H$3*$H4-$I$3*$I4-$J$3*$J4-$L$3*$L4-$M$3*$M4-$N$3*$N4-O$3&gt;=0,1,0),IF((65536+$C4)-$G$3*$G4-$H$3*$H4-$I$3*$I4-$J$3*$J4-$L$3*$L4-$M$3*$M4-$N$3*$N4-O$3&gt;=0,1,0))</f>
        <v>0</v>
      </c>
      <c r="P4" t="s">
        <v>18</v>
      </c>
      <c r="Q4">
        <f t="shared" ref="Q4:Q15" si="8">IF($C4&gt;=0,IF($C4-$G$3*$G4-$H$3*$H4-$I$3*$I4-$J$3*$J4-$L$3*$L4-$M$3*$M4-$N$3*$N4-$O$3*$O4-Q$3&gt;=0,1,0),IF((65536+$C4)-$G$3*$G4-$H$3*$H4-$I$3*$I4-$J$3*$J4-$L$3*$L4-$M$3*$M4-$N$3*$N4-$O$3*$O4-Q$3&gt;=0,1,0))</f>
        <v>0</v>
      </c>
      <c r="R4">
        <f t="shared" ref="R4:R15" si="9">IF($C4&gt;=0,IF($C4-$G$3*$G4-$H$3*$H4-$I$3*$I4-$J$3*$J4-$L$3*$L4-$M$3*$M4-$N$3*$N4-$O$3*$O4-$Q$3*$Q4-R$3&gt;=0,1,0),IF((65536+$C4)-$G$3*$G4-$H$3*$H4-$I$3*$I4-$J$3*$J4-$L$3*$L4-$M$3*$M4-$N$3*$N4-$O$3*$O4-$Q$3*$Q4-R$3&gt;=0,1,0))</f>
        <v>0</v>
      </c>
      <c r="S4">
        <f t="shared" ref="S4:S15" si="10">IF($C4&gt;=0,IF($C4-$G$3*$G4-$H$3*$H4-$I$3*$I4-$J$3*$J4-$L$3*$L4-$M$3*$M4-$N$3*$N4-$O$3*$O4-$Q$3*$Q4-$R$3*$R4-S$3&gt;=0,1,0),IF((65536+$C4)-$G$3*$G4-$H$3*$H4-$I$3*$I4-$J$3*$J4-$L$3*$L4-$M$3*$M4-$N$3*$N4-$O$3*$O4-$Q$3*$Q4-$R$3*$R4-S$3&gt;=0,1,0))</f>
        <v>0</v>
      </c>
      <c r="T4">
        <f t="shared" ref="T4:T15" si="11">IF($C4&gt;=0,IF($C4-$G$3*$G4-$H$3*$H4-$I$3*$I4-$J$3*$J4-$L$3*$L4-$M$3*$M4-$N$3*$N4-$O$3*$O4-$Q$3*$Q4-$R$3*$R4-$S$3*$S4-T$3&gt;=0,1,0),IF((65536+$C4)-$G$3*$G4-$H$3*$H4-$I$3*$I4-$J$3*$J4-$L$3*$L4-$M$3*$M4-$N$3*$N4-$O$3*$O4-$Q$3*$Q4-$R$3*$R4-$S$3*$S4-T$3&gt;=0,1,0))</f>
        <v>1</v>
      </c>
      <c r="U4" t="s">
        <v>18</v>
      </c>
      <c r="V4">
        <f t="shared" ref="V4:V15" si="12">IF($C4&gt;=0,IF($C4-$G$3*$G4-$H$3*$H4-$I$3*$I4-$J$3*$J4-$L$3*$L4-$M$3*$M4-$N$3*$N4-$O$3*$O4-$Q$3*$Q4-$R$3*$R4-$S$3*$S4-$T$3*$T4-V$3&gt;=0,1,0),IF((65536+$C4)-$G$3*$G4-$H$3*$H4-$I$3*$I4-$J$3*$J4-$L$3*$L4-$M$3*$M4-$N$3*$N4-$O$3*$O4-$Q$3*$Q4-$R$3*$R4-$S$3*$S4-$T$3*$T4-V$3&gt;=0,1,0))</f>
        <v>0</v>
      </c>
      <c r="W4">
        <f t="shared" ref="W4:W15" si="13">IF($C4&gt;=0,IF($C4-$G$3*$G4-$H$3*$H4-$I$3*$I4-$J$3*$J4-$L$3*$L4-$M$3*$M4-$N$3*$N4-$O$3*$O4-$Q$3*$Q4-$R$3*$R4-$S$3*$S4-$T$3*$T4-$V$3*$V4-W$3&gt;=0,1,0),IF((65536+$C4)-$G$3*$G4-$H$3*$H4-$I$3*$I4-$J$3*$J4-$L$3*$L4-$M$3*$M4-$N$3*$N4-$O$3*$O4-$Q$3*$Q4-$R$3*$R4-$S$3*$S4-$T$3*$T4-$V$3*$V4-W$3&gt;=0,1,0))</f>
        <v>0</v>
      </c>
      <c r="X4">
        <f t="shared" ref="X4:X15" si="14">IF($C4&gt;=0,IF($C4-$G$3*$G4-$H$3*$H4-$I$3*$I4-$J$3*$J4-$L$3*$L4-$M$3*$M4-$N$3*$N4-$O$3*$O4-$Q$3*$Q4-$R$3*$R4-$S$3*$S4-$T$3*$T4-$V$3*$V4-$W$3*$W4-X$3&gt;=0,1,0),IF((65536+$C4)-$G$3*$G4-$H$3*$H4-$I$3*$I4-$J$3*$J4-$L$3*$L4-$M$3*$M4-$N$3*$N4-$O$3*$O4-$Q$3*$Q4-$R$3*$R4-$S$3*$S4-$T$3*$T4-$V$3*$V4-$W$3*$W4-X$3&gt;=0,1,0))</f>
        <v>1</v>
      </c>
      <c r="Y4">
        <f t="shared" ref="Y4:Y15" si="15">IF($C4&gt;=0,IF($C4-$G$3*$G4-$H$3*$H4-$I$3*$I4-$J$3*$J4-$L$3*$L4-$M$3*$M4-$N$3*$N4-$O$3*$O4-$Q$3*$Q4-$R$3*$R4-$S$3*$S4-$T$3*$T4-$V$3*$V4-$W$3*$W4-$X$3*$X4-Y$3&gt;=0,1,0),IF((65536+$C4)-$G$3*$G4-$H$3*$H4-$I$3*$I4-$J$3*$J4-$L$3*$L4-$M$3*$M4-$N$3*$N4-$O$3*$O4-$Q$3*$Q4-$R$3*$R4-$S$3*$S4-$T$3*$T4-$V$3*$V4-$W$3*$W4-$X$3*$X4-Y$3&gt;=0,1,0))</f>
        <v>1</v>
      </c>
    </row>
    <row r="5" spans="1:25" ht="13.5" customHeight="1" x14ac:dyDescent="0.25">
      <c r="A5" t="s">
        <v>35</v>
      </c>
      <c r="B5" t="s">
        <v>1</v>
      </c>
      <c r="C5">
        <f>C2</f>
        <v>16249</v>
      </c>
      <c r="E5" t="s">
        <v>22</v>
      </c>
      <c r="G5">
        <f t="shared" si="0"/>
        <v>0</v>
      </c>
      <c r="H5">
        <f t="shared" si="1"/>
        <v>0</v>
      </c>
      <c r="I5">
        <f t="shared" si="2"/>
        <v>1</v>
      </c>
      <c r="J5">
        <f t="shared" si="3"/>
        <v>1</v>
      </c>
      <c r="K5" t="s">
        <v>18</v>
      </c>
      <c r="L5">
        <f t="shared" si="4"/>
        <v>1</v>
      </c>
      <c r="M5">
        <f t="shared" si="5"/>
        <v>1</v>
      </c>
      <c r="N5">
        <f t="shared" si="6"/>
        <v>1</v>
      </c>
      <c r="O5">
        <f t="shared" si="7"/>
        <v>1</v>
      </c>
      <c r="P5" t="s">
        <v>18</v>
      </c>
      <c r="Q5">
        <f t="shared" si="8"/>
        <v>0</v>
      </c>
      <c r="R5">
        <f t="shared" si="9"/>
        <v>1</v>
      </c>
      <c r="S5">
        <f t="shared" si="10"/>
        <v>1</v>
      </c>
      <c r="T5">
        <f t="shared" si="11"/>
        <v>1</v>
      </c>
      <c r="U5" t="s">
        <v>18</v>
      </c>
      <c r="V5">
        <f t="shared" si="12"/>
        <v>1</v>
      </c>
      <c r="W5">
        <f t="shared" si="13"/>
        <v>0</v>
      </c>
      <c r="X5">
        <f t="shared" si="14"/>
        <v>0</v>
      </c>
      <c r="Y5">
        <f t="shared" si="15"/>
        <v>1</v>
      </c>
    </row>
    <row r="6" spans="1:25" ht="13.5" customHeight="1" x14ac:dyDescent="0.25">
      <c r="A6" t="s">
        <v>37</v>
      </c>
      <c r="B6" t="s">
        <v>2</v>
      </c>
      <c r="C6">
        <f>C1+C2</f>
        <v>28556</v>
      </c>
      <c r="E6" t="s">
        <v>23</v>
      </c>
      <c r="G6">
        <f t="shared" si="0"/>
        <v>0</v>
      </c>
      <c r="H6">
        <f t="shared" si="1"/>
        <v>1</v>
      </c>
      <c r="I6">
        <f t="shared" si="2"/>
        <v>1</v>
      </c>
      <c r="J6">
        <f t="shared" si="3"/>
        <v>0</v>
      </c>
      <c r="K6" t="s">
        <v>18</v>
      </c>
      <c r="L6">
        <f t="shared" si="4"/>
        <v>1</v>
      </c>
      <c r="M6">
        <f t="shared" si="5"/>
        <v>1</v>
      </c>
      <c r="N6">
        <f t="shared" si="6"/>
        <v>1</v>
      </c>
      <c r="O6">
        <f t="shared" si="7"/>
        <v>1</v>
      </c>
      <c r="P6" t="s">
        <v>18</v>
      </c>
      <c r="Q6">
        <f t="shared" si="8"/>
        <v>1</v>
      </c>
      <c r="R6">
        <f t="shared" si="9"/>
        <v>0</v>
      </c>
      <c r="S6">
        <f t="shared" si="10"/>
        <v>0</v>
      </c>
      <c r="T6">
        <f t="shared" si="11"/>
        <v>0</v>
      </c>
      <c r="U6" t="s">
        <v>18</v>
      </c>
      <c r="V6">
        <f t="shared" si="12"/>
        <v>1</v>
      </c>
      <c r="W6">
        <f t="shared" si="13"/>
        <v>1</v>
      </c>
      <c r="X6">
        <f t="shared" si="14"/>
        <v>0</v>
      </c>
      <c r="Y6">
        <f t="shared" si="15"/>
        <v>0</v>
      </c>
    </row>
    <row r="7" spans="1:25" ht="13.5" customHeight="1" x14ac:dyDescent="0.25">
      <c r="A7" t="s">
        <v>38</v>
      </c>
      <c r="B7" t="s">
        <v>3</v>
      </c>
      <c r="C7">
        <f>C1+C2+C2</f>
        <v>44805</v>
      </c>
      <c r="E7" t="s">
        <v>24</v>
      </c>
      <c r="G7">
        <f t="shared" si="0"/>
        <v>1</v>
      </c>
      <c r="H7">
        <f t="shared" si="1"/>
        <v>0</v>
      </c>
      <c r="I7">
        <f t="shared" si="2"/>
        <v>1</v>
      </c>
      <c r="J7">
        <f t="shared" si="3"/>
        <v>0</v>
      </c>
      <c r="K7" t="s">
        <v>18</v>
      </c>
      <c r="L7">
        <f t="shared" si="4"/>
        <v>1</v>
      </c>
      <c r="M7">
        <f t="shared" si="5"/>
        <v>1</v>
      </c>
      <c r="N7">
        <f t="shared" si="6"/>
        <v>1</v>
      </c>
      <c r="O7">
        <f t="shared" si="7"/>
        <v>1</v>
      </c>
      <c r="P7" t="s">
        <v>18</v>
      </c>
      <c r="Q7">
        <f t="shared" si="8"/>
        <v>0</v>
      </c>
      <c r="R7">
        <f t="shared" si="9"/>
        <v>0</v>
      </c>
      <c r="S7">
        <f t="shared" si="10"/>
        <v>0</v>
      </c>
      <c r="T7">
        <f t="shared" si="11"/>
        <v>0</v>
      </c>
      <c r="U7" t="s">
        <v>18</v>
      </c>
      <c r="V7">
        <f t="shared" si="12"/>
        <v>0</v>
      </c>
      <c r="W7">
        <f t="shared" si="13"/>
        <v>1</v>
      </c>
      <c r="X7">
        <f t="shared" si="14"/>
        <v>0</v>
      </c>
      <c r="Y7">
        <f t="shared" si="15"/>
        <v>1</v>
      </c>
    </row>
    <row r="8" spans="1:25" ht="13.5" customHeight="1" x14ac:dyDescent="0.25">
      <c r="A8" t="s">
        <v>39</v>
      </c>
      <c r="B8" t="s">
        <v>4</v>
      </c>
      <c r="C8">
        <f>C2-C1</f>
        <v>3942</v>
      </c>
      <c r="E8" t="s">
        <v>25</v>
      </c>
      <c r="G8">
        <f t="shared" si="0"/>
        <v>0</v>
      </c>
      <c r="H8">
        <f t="shared" si="1"/>
        <v>0</v>
      </c>
      <c r="I8">
        <f t="shared" si="2"/>
        <v>0</v>
      </c>
      <c r="J8">
        <f t="shared" si="3"/>
        <v>0</v>
      </c>
      <c r="K8" t="s">
        <v>18</v>
      </c>
      <c r="L8">
        <f t="shared" si="4"/>
        <v>1</v>
      </c>
      <c r="M8">
        <f t="shared" si="5"/>
        <v>1</v>
      </c>
      <c r="N8">
        <f t="shared" si="6"/>
        <v>1</v>
      </c>
      <c r="O8">
        <f t="shared" si="7"/>
        <v>1</v>
      </c>
      <c r="P8" t="s">
        <v>18</v>
      </c>
      <c r="Q8">
        <f t="shared" si="8"/>
        <v>0</v>
      </c>
      <c r="R8">
        <f t="shared" si="9"/>
        <v>1</v>
      </c>
      <c r="S8">
        <f t="shared" si="10"/>
        <v>1</v>
      </c>
      <c r="T8">
        <f t="shared" si="11"/>
        <v>0</v>
      </c>
      <c r="U8" t="s">
        <v>18</v>
      </c>
      <c r="V8">
        <f t="shared" si="12"/>
        <v>0</v>
      </c>
      <c r="W8">
        <f t="shared" si="13"/>
        <v>1</v>
      </c>
      <c r="X8">
        <f t="shared" si="14"/>
        <v>1</v>
      </c>
      <c r="Y8">
        <f t="shared" si="15"/>
        <v>0</v>
      </c>
    </row>
    <row r="9" spans="1:25" ht="13.5" customHeight="1" x14ac:dyDescent="0.25">
      <c r="A9" t="s">
        <v>40</v>
      </c>
      <c r="B9" t="s">
        <v>5</v>
      </c>
      <c r="C9">
        <f>65536-C7</f>
        <v>20731</v>
      </c>
      <c r="E9" t="s">
        <v>26</v>
      </c>
      <c r="G9">
        <f t="shared" si="0"/>
        <v>0</v>
      </c>
      <c r="H9">
        <f t="shared" si="1"/>
        <v>1</v>
      </c>
      <c r="I9">
        <f t="shared" si="2"/>
        <v>0</v>
      </c>
      <c r="J9">
        <f t="shared" si="3"/>
        <v>1</v>
      </c>
      <c r="K9" t="s">
        <v>18</v>
      </c>
      <c r="L9">
        <f t="shared" si="4"/>
        <v>0</v>
      </c>
      <c r="M9">
        <f t="shared" si="5"/>
        <v>0</v>
      </c>
      <c r="N9">
        <f t="shared" si="6"/>
        <v>0</v>
      </c>
      <c r="O9">
        <f t="shared" si="7"/>
        <v>0</v>
      </c>
      <c r="P9" t="s">
        <v>18</v>
      </c>
      <c r="Q9">
        <f t="shared" si="8"/>
        <v>1</v>
      </c>
      <c r="R9">
        <f t="shared" si="9"/>
        <v>1</v>
      </c>
      <c r="S9">
        <f t="shared" si="10"/>
        <v>1</v>
      </c>
      <c r="T9">
        <f t="shared" si="11"/>
        <v>1</v>
      </c>
      <c r="U9" t="s">
        <v>18</v>
      </c>
      <c r="V9">
        <f t="shared" si="12"/>
        <v>1</v>
      </c>
      <c r="W9">
        <f t="shared" si="13"/>
        <v>0</v>
      </c>
      <c r="X9">
        <f t="shared" si="14"/>
        <v>1</v>
      </c>
      <c r="Y9">
        <f t="shared" si="15"/>
        <v>1</v>
      </c>
    </row>
    <row r="10" spans="1:25" ht="13.5" customHeight="1" x14ac:dyDescent="0.25">
      <c r="A10" t="s">
        <v>41</v>
      </c>
      <c r="B10" s="1" t="s">
        <v>6</v>
      </c>
      <c r="C10">
        <f t="shared" ref="C10:C15" si="16">-C4</f>
        <v>-12307</v>
      </c>
      <c r="E10" t="s">
        <v>27</v>
      </c>
      <c r="F10" s="1" t="s">
        <v>12</v>
      </c>
      <c r="G10">
        <f t="shared" si="0"/>
        <v>1</v>
      </c>
      <c r="H10">
        <f t="shared" si="1"/>
        <v>1</v>
      </c>
      <c r="I10">
        <f t="shared" si="2"/>
        <v>0</v>
      </c>
      <c r="J10">
        <f t="shared" si="3"/>
        <v>0</v>
      </c>
      <c r="K10" t="s">
        <v>18</v>
      </c>
      <c r="L10">
        <f t="shared" si="4"/>
        <v>1</v>
      </c>
      <c r="M10">
        <f t="shared" si="5"/>
        <v>1</v>
      </c>
      <c r="N10">
        <f t="shared" si="6"/>
        <v>1</v>
      </c>
      <c r="O10">
        <f t="shared" si="7"/>
        <v>1</v>
      </c>
      <c r="P10" t="s">
        <v>18</v>
      </c>
      <c r="Q10">
        <f t="shared" si="8"/>
        <v>1</v>
      </c>
      <c r="R10">
        <f t="shared" si="9"/>
        <v>1</v>
      </c>
      <c r="S10">
        <f t="shared" si="10"/>
        <v>1</v>
      </c>
      <c r="T10">
        <f t="shared" si="11"/>
        <v>0</v>
      </c>
      <c r="U10" t="s">
        <v>18</v>
      </c>
      <c r="V10">
        <f t="shared" si="12"/>
        <v>1</v>
      </c>
      <c r="W10">
        <f t="shared" si="13"/>
        <v>1</v>
      </c>
      <c r="X10">
        <f t="shared" si="14"/>
        <v>0</v>
      </c>
      <c r="Y10">
        <f t="shared" si="15"/>
        <v>1</v>
      </c>
    </row>
    <row r="11" spans="1:25" ht="13.5" customHeight="1" x14ac:dyDescent="0.25">
      <c r="A11" t="s">
        <v>42</v>
      </c>
      <c r="B11" s="1" t="s">
        <v>7</v>
      </c>
      <c r="C11">
        <f t="shared" si="16"/>
        <v>-16249</v>
      </c>
      <c r="E11" t="s">
        <v>28</v>
      </c>
      <c r="F11" s="1" t="s">
        <v>13</v>
      </c>
      <c r="G11">
        <f t="shared" si="0"/>
        <v>1</v>
      </c>
      <c r="H11">
        <f t="shared" si="1"/>
        <v>1</v>
      </c>
      <c r="I11">
        <f t="shared" si="2"/>
        <v>0</v>
      </c>
      <c r="J11">
        <f t="shared" si="3"/>
        <v>0</v>
      </c>
      <c r="K11" t="s">
        <v>18</v>
      </c>
      <c r="L11">
        <f t="shared" si="4"/>
        <v>0</v>
      </c>
      <c r="M11">
        <f t="shared" si="5"/>
        <v>0</v>
      </c>
      <c r="N11">
        <f t="shared" si="6"/>
        <v>0</v>
      </c>
      <c r="O11">
        <f t="shared" si="7"/>
        <v>0</v>
      </c>
      <c r="P11" t="s">
        <v>18</v>
      </c>
      <c r="Q11">
        <f t="shared" si="8"/>
        <v>1</v>
      </c>
      <c r="R11">
        <f t="shared" si="9"/>
        <v>0</v>
      </c>
      <c r="S11">
        <f t="shared" si="10"/>
        <v>0</v>
      </c>
      <c r="T11">
        <f t="shared" si="11"/>
        <v>0</v>
      </c>
      <c r="U11" t="s">
        <v>18</v>
      </c>
      <c r="V11">
        <f t="shared" si="12"/>
        <v>0</v>
      </c>
      <c r="W11">
        <f t="shared" si="13"/>
        <v>1</v>
      </c>
      <c r="X11">
        <f t="shared" si="14"/>
        <v>1</v>
      </c>
      <c r="Y11">
        <f t="shared" si="15"/>
        <v>1</v>
      </c>
    </row>
    <row r="12" spans="1:25" ht="13.5" customHeight="1" x14ac:dyDescent="0.25">
      <c r="A12" t="s">
        <v>43</v>
      </c>
      <c r="B12" s="1" t="s">
        <v>8</v>
      </c>
      <c r="C12">
        <f t="shared" si="16"/>
        <v>-28556</v>
      </c>
      <c r="E12" t="s">
        <v>29</v>
      </c>
      <c r="F12" s="1" t="s">
        <v>14</v>
      </c>
      <c r="G12">
        <f t="shared" si="0"/>
        <v>1</v>
      </c>
      <c r="H12">
        <f t="shared" si="1"/>
        <v>0</v>
      </c>
      <c r="I12">
        <f t="shared" si="2"/>
        <v>0</v>
      </c>
      <c r="J12">
        <f t="shared" si="3"/>
        <v>1</v>
      </c>
      <c r="K12" t="s">
        <v>18</v>
      </c>
      <c r="L12">
        <f t="shared" si="4"/>
        <v>0</v>
      </c>
      <c r="M12">
        <f t="shared" si="5"/>
        <v>0</v>
      </c>
      <c r="N12">
        <f t="shared" si="6"/>
        <v>0</v>
      </c>
      <c r="O12">
        <f t="shared" si="7"/>
        <v>0</v>
      </c>
      <c r="P12" t="s">
        <v>18</v>
      </c>
      <c r="Q12">
        <f t="shared" si="8"/>
        <v>0</v>
      </c>
      <c r="R12">
        <f t="shared" si="9"/>
        <v>1</v>
      </c>
      <c r="S12">
        <f t="shared" si="10"/>
        <v>1</v>
      </c>
      <c r="T12">
        <f t="shared" si="11"/>
        <v>1</v>
      </c>
      <c r="U12" t="s">
        <v>18</v>
      </c>
      <c r="V12">
        <f t="shared" si="12"/>
        <v>0</v>
      </c>
      <c r="W12">
        <f t="shared" si="13"/>
        <v>1</v>
      </c>
      <c r="X12">
        <f t="shared" si="14"/>
        <v>0</v>
      </c>
      <c r="Y12">
        <f t="shared" si="15"/>
        <v>0</v>
      </c>
    </row>
    <row r="13" spans="1:25" ht="13.5" customHeight="1" x14ac:dyDescent="0.25">
      <c r="A13" t="s">
        <v>44</v>
      </c>
      <c r="B13" s="1" t="s">
        <v>9</v>
      </c>
      <c r="C13">
        <f t="shared" si="16"/>
        <v>-44805</v>
      </c>
      <c r="E13" t="s">
        <v>30</v>
      </c>
      <c r="F13" s="1" t="s">
        <v>15</v>
      </c>
      <c r="G13">
        <f t="shared" si="0"/>
        <v>0</v>
      </c>
      <c r="H13">
        <f t="shared" si="1"/>
        <v>1</v>
      </c>
      <c r="I13">
        <f t="shared" si="2"/>
        <v>0</v>
      </c>
      <c r="J13">
        <f t="shared" si="3"/>
        <v>1</v>
      </c>
      <c r="K13" t="s">
        <v>18</v>
      </c>
      <c r="L13">
        <f t="shared" si="4"/>
        <v>0</v>
      </c>
      <c r="M13">
        <f t="shared" si="5"/>
        <v>0</v>
      </c>
      <c r="N13">
        <f t="shared" si="6"/>
        <v>0</v>
      </c>
      <c r="O13">
        <f t="shared" si="7"/>
        <v>0</v>
      </c>
      <c r="P13" t="s">
        <v>18</v>
      </c>
      <c r="Q13">
        <f t="shared" si="8"/>
        <v>1</v>
      </c>
      <c r="R13">
        <f t="shared" si="9"/>
        <v>1</v>
      </c>
      <c r="S13">
        <f t="shared" si="10"/>
        <v>1</v>
      </c>
      <c r="T13">
        <f t="shared" si="11"/>
        <v>1</v>
      </c>
      <c r="U13" t="s">
        <v>18</v>
      </c>
      <c r="V13">
        <f t="shared" si="12"/>
        <v>1</v>
      </c>
      <c r="W13">
        <f t="shared" si="13"/>
        <v>0</v>
      </c>
      <c r="X13">
        <f t="shared" si="14"/>
        <v>1</v>
      </c>
      <c r="Y13">
        <f t="shared" si="15"/>
        <v>1</v>
      </c>
    </row>
    <row r="14" spans="1:25" ht="13.5" customHeight="1" x14ac:dyDescent="0.25">
      <c r="A14" t="s">
        <v>45</v>
      </c>
      <c r="B14" s="1" t="s">
        <v>10</v>
      </c>
      <c r="C14">
        <f t="shared" si="16"/>
        <v>-3942</v>
      </c>
      <c r="E14" t="s">
        <v>31</v>
      </c>
      <c r="F14" s="1" t="s">
        <v>16</v>
      </c>
      <c r="G14">
        <f t="shared" si="0"/>
        <v>1</v>
      </c>
      <c r="H14">
        <f t="shared" si="1"/>
        <v>1</v>
      </c>
      <c r="I14">
        <f t="shared" si="2"/>
        <v>1</v>
      </c>
      <c r="J14">
        <f t="shared" si="3"/>
        <v>1</v>
      </c>
      <c r="K14" t="s">
        <v>18</v>
      </c>
      <c r="L14">
        <f t="shared" si="4"/>
        <v>0</v>
      </c>
      <c r="M14">
        <f t="shared" si="5"/>
        <v>0</v>
      </c>
      <c r="N14">
        <f t="shared" si="6"/>
        <v>0</v>
      </c>
      <c r="O14">
        <f t="shared" si="7"/>
        <v>0</v>
      </c>
      <c r="P14" t="s">
        <v>18</v>
      </c>
      <c r="Q14">
        <f t="shared" si="8"/>
        <v>1</v>
      </c>
      <c r="R14">
        <f t="shared" si="9"/>
        <v>0</v>
      </c>
      <c r="S14">
        <f t="shared" si="10"/>
        <v>0</v>
      </c>
      <c r="T14">
        <f t="shared" si="11"/>
        <v>1</v>
      </c>
      <c r="U14" t="s">
        <v>18</v>
      </c>
      <c r="V14">
        <f t="shared" si="12"/>
        <v>1</v>
      </c>
      <c r="W14">
        <f t="shared" si="13"/>
        <v>0</v>
      </c>
      <c r="X14">
        <f t="shared" si="14"/>
        <v>1</v>
      </c>
      <c r="Y14">
        <f t="shared" si="15"/>
        <v>0</v>
      </c>
    </row>
    <row r="15" spans="1:25" ht="13.5" customHeight="1" x14ac:dyDescent="0.25">
      <c r="A15" t="s">
        <v>46</v>
      </c>
      <c r="B15" s="1" t="s">
        <v>11</v>
      </c>
      <c r="C15">
        <f t="shared" si="16"/>
        <v>-20731</v>
      </c>
      <c r="E15" t="s">
        <v>32</v>
      </c>
      <c r="F15" s="1" t="s">
        <v>17</v>
      </c>
      <c r="G15">
        <f t="shared" si="0"/>
        <v>1</v>
      </c>
      <c r="H15">
        <f t="shared" si="1"/>
        <v>0</v>
      </c>
      <c r="I15">
        <f t="shared" si="2"/>
        <v>1</v>
      </c>
      <c r="J15">
        <f t="shared" si="3"/>
        <v>0</v>
      </c>
      <c r="K15" t="s">
        <v>18</v>
      </c>
      <c r="L15">
        <f t="shared" si="4"/>
        <v>1</v>
      </c>
      <c r="M15">
        <f t="shared" si="5"/>
        <v>1</v>
      </c>
      <c r="N15">
        <f t="shared" si="6"/>
        <v>1</v>
      </c>
      <c r="O15">
        <f t="shared" si="7"/>
        <v>1</v>
      </c>
      <c r="P15" t="s">
        <v>18</v>
      </c>
      <c r="Q15">
        <f t="shared" si="8"/>
        <v>0</v>
      </c>
      <c r="R15">
        <f t="shared" si="9"/>
        <v>0</v>
      </c>
      <c r="S15">
        <f t="shared" si="10"/>
        <v>0</v>
      </c>
      <c r="T15">
        <f t="shared" si="11"/>
        <v>0</v>
      </c>
      <c r="U15" t="s">
        <v>18</v>
      </c>
      <c r="V15">
        <f t="shared" si="12"/>
        <v>0</v>
      </c>
      <c r="W15">
        <f t="shared" si="13"/>
        <v>1</v>
      </c>
      <c r="X15">
        <f t="shared" si="14"/>
        <v>0</v>
      </c>
      <c r="Y15">
        <f t="shared" si="15"/>
        <v>1</v>
      </c>
    </row>
  </sheetData>
  <conditionalFormatting sqref="G4:Y7">
    <cfRule type="cellIs" dxfId="1" priority="2" operator="equal">
      <formula>0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AFCED-12FD-4235-92A5-F4374C50656C}">
  <sheetPr codeName="Лист2"/>
  <dimension ref="A1:AO34"/>
  <sheetViews>
    <sheetView zoomScale="115" zoomScaleNormal="115" workbookViewId="0">
      <selection activeCell="AP21" sqref="AP21"/>
    </sheetView>
  </sheetViews>
  <sheetFormatPr defaultRowHeight="15" x14ac:dyDescent="0.25"/>
  <cols>
    <col min="1" max="1" width="2" bestFit="1" customWidth="1"/>
    <col min="2" max="2" width="4.28515625" bestFit="1" customWidth="1"/>
    <col min="3" max="3" width="4.5703125" customWidth="1"/>
    <col min="4" max="4" width="2" bestFit="1" customWidth="1"/>
    <col min="5" max="22" width="2" customWidth="1"/>
    <col min="23" max="23" width="4" bestFit="1" customWidth="1"/>
    <col min="24" max="24" width="7.140625" bestFit="1" customWidth="1"/>
    <col min="25" max="25" width="3.28515625" bestFit="1" customWidth="1"/>
    <col min="26" max="26" width="7" bestFit="1" customWidth="1"/>
    <col min="27" max="27" width="2" bestFit="1" customWidth="1"/>
    <col min="28" max="28" width="4.28515625" bestFit="1" customWidth="1"/>
    <col min="29" max="29" width="2" bestFit="1" customWidth="1"/>
    <col min="30" max="30" width="3.140625" bestFit="1" customWidth="1"/>
    <col min="31" max="31" width="3" customWidth="1"/>
    <col min="32" max="32" width="4.7109375" bestFit="1" customWidth="1"/>
    <col min="33" max="33" width="2" bestFit="1" customWidth="1"/>
    <col min="34" max="34" width="4.85546875" bestFit="1" customWidth="1"/>
    <col min="35" max="35" width="2" bestFit="1" customWidth="1"/>
    <col min="37" max="37" width="14.28515625" bestFit="1" customWidth="1"/>
    <col min="38" max="38" width="18.28515625" bestFit="1" customWidth="1"/>
    <col min="39" max="39" width="16.5703125" bestFit="1" customWidth="1"/>
    <col min="40" max="40" width="20.28515625" bestFit="1" customWidth="1"/>
    <col min="41" max="41" width="43" customWidth="1"/>
  </cols>
  <sheetData>
    <row r="1" spans="1:41" ht="18" x14ac:dyDescent="0.35">
      <c r="B1" t="s">
        <v>21</v>
      </c>
      <c r="C1" s="5"/>
      <c r="D1">
        <f>VLOOKUP($B1,перевод!$E$4:$Y$15,3,0)</f>
        <v>0</v>
      </c>
      <c r="E1">
        <f>VLOOKUP($B1,перевод!$E$4:$Y$15,4,0)</f>
        <v>0</v>
      </c>
      <c r="F1">
        <f>VLOOKUP($B1,перевод!$E$4:$Y$15,5,0)</f>
        <v>1</v>
      </c>
      <c r="G1">
        <f>VLOOKUP($B1,перевод!$E$4:$Y$15,6,0)</f>
        <v>1</v>
      </c>
      <c r="H1" t="str">
        <f>VLOOKUP($B1,перевод!$E$4:$Y$15,7,0)</f>
        <v>.</v>
      </c>
      <c r="I1">
        <f>VLOOKUP($B1,перевод!$E$4:$Y$15,8,0)</f>
        <v>0</v>
      </c>
      <c r="J1">
        <f>VLOOKUP($B1,перевод!$E$4:$Y$15,9,0)</f>
        <v>0</v>
      </c>
      <c r="K1">
        <f>VLOOKUP($B1,перевод!$E$4:$Y$15,10,0)</f>
        <v>0</v>
      </c>
      <c r="L1">
        <f>VLOOKUP($B1,перевод!$E$4:$Y$15,11,0)</f>
        <v>0</v>
      </c>
      <c r="M1" t="str">
        <f>VLOOKUP($B1,перевод!$E$4:$Y$15,12,0)</f>
        <v>.</v>
      </c>
      <c r="N1">
        <f>VLOOKUP($B1,перевод!$E$4:$Y$15,13,0)</f>
        <v>0</v>
      </c>
      <c r="O1">
        <f>VLOOKUP($B1,перевод!$E$4:$Y$15,14,0)</f>
        <v>0</v>
      </c>
      <c r="P1">
        <f>VLOOKUP($B1,перевод!$E$4:$Y$15,15,0)</f>
        <v>0</v>
      </c>
      <c r="Q1">
        <f>VLOOKUP($B1,перевод!$E$4:$Y$15,16,0)</f>
        <v>1</v>
      </c>
      <c r="R1" t="str">
        <f>VLOOKUP($B1,перевод!$E$4:$Y$15,17,0)</f>
        <v>.</v>
      </c>
      <c r="S1">
        <f>VLOOKUP($B1,перевод!$E$4:$Y$15,18,0)</f>
        <v>0</v>
      </c>
      <c r="T1">
        <f>VLOOKUP($B1,перевод!$E$4:$Y$15,19,0)</f>
        <v>0</v>
      </c>
      <c r="U1">
        <f>VLOOKUP($B1,перевод!$E$4:$Y$15,20,0)</f>
        <v>1</v>
      </c>
      <c r="V1">
        <f>VLOOKUP($B1,перевод!$E$4:$Y$15,21,0)</f>
        <v>1</v>
      </c>
      <c r="AF1" t="s">
        <v>47</v>
      </c>
      <c r="AG1">
        <v>0</v>
      </c>
      <c r="AH1" t="s">
        <v>50</v>
      </c>
      <c r="AI1">
        <f>IF(COUNTIF(D4:V4,0)=16,1,0)</f>
        <v>0</v>
      </c>
      <c r="AK1" t="s">
        <v>53</v>
      </c>
      <c r="AL1" t="str">
        <f>IF(D1=0,"положительного и","отрицательного и")</f>
        <v>положительного и</v>
      </c>
      <c r="AM1" t="str">
        <f>IF(D2=0,"положительного","отрицательного")</f>
        <v>положительного</v>
      </c>
      <c r="AN1" t="s">
        <v>54</v>
      </c>
      <c r="AO1" t="str">
        <f>IF(AI2=0,"положительное число","отрицательное число")</f>
        <v>положительное число</v>
      </c>
    </row>
    <row r="2" spans="1:41" ht="18.75" thickBot="1" x14ac:dyDescent="0.4">
      <c r="A2" s="2" t="s">
        <v>19</v>
      </c>
      <c r="B2" s="2" t="s">
        <v>22</v>
      </c>
      <c r="C2" s="6"/>
      <c r="D2" s="2">
        <f>VLOOKUP($B2,перевод!$E$4:$Y$15,3,0)</f>
        <v>0</v>
      </c>
      <c r="E2" s="2">
        <f>VLOOKUP($B2,перевод!$E$4:$Y$15,4,0)</f>
        <v>0</v>
      </c>
      <c r="F2" s="2">
        <f>VLOOKUP($B2,перевод!$E$4:$Y$15,5,0)</f>
        <v>1</v>
      </c>
      <c r="G2" s="2">
        <f>VLOOKUP($B2,перевод!$E$4:$Y$15,6,0)</f>
        <v>1</v>
      </c>
      <c r="H2" s="2" t="str">
        <f>VLOOKUP($B2,перевод!$E$4:$Y$15,7,0)</f>
        <v>.</v>
      </c>
      <c r="I2" s="2">
        <f>VLOOKUP($B2,перевод!$E$4:$Y$15,8,0)</f>
        <v>1</v>
      </c>
      <c r="J2" s="2">
        <f>VLOOKUP($B2,перевод!$E$4:$Y$15,9,0)</f>
        <v>1</v>
      </c>
      <c r="K2" s="2">
        <f>VLOOKUP($B2,перевод!$E$4:$Y$15,10,0)</f>
        <v>1</v>
      </c>
      <c r="L2" s="2">
        <f>VLOOKUP($B2,перевод!$E$4:$Y$15,11,0)</f>
        <v>1</v>
      </c>
      <c r="M2" s="2" t="str">
        <f>VLOOKUP($B2,перевод!$E$4:$Y$15,12,0)</f>
        <v>.</v>
      </c>
      <c r="N2" s="2">
        <f>VLOOKUP($B2,перевод!$E$4:$Y$15,13,0)</f>
        <v>0</v>
      </c>
      <c r="O2" s="2">
        <f>VLOOKUP($B2,перевод!$E$4:$Y$15,14,0)</f>
        <v>1</v>
      </c>
      <c r="P2" s="2">
        <f>VLOOKUP($B2,перевод!$E$4:$Y$15,15,0)</f>
        <v>1</v>
      </c>
      <c r="Q2" s="2">
        <f>VLOOKUP($B2,перевод!$E$4:$Y$15,16,0)</f>
        <v>1</v>
      </c>
      <c r="R2" s="2" t="str">
        <f>VLOOKUP($B2,перевод!$E$4:$Y$15,17,0)</f>
        <v>.</v>
      </c>
      <c r="S2" s="2">
        <f>VLOOKUP($B2,перевод!$E$4:$Y$15,18,0)</f>
        <v>1</v>
      </c>
      <c r="T2" s="2">
        <f>VLOOKUP($B2,перевод!$E$4:$Y$15,19,0)</f>
        <v>0</v>
      </c>
      <c r="U2" s="2">
        <f>VLOOKUP($B2,перевод!$E$4:$Y$15,20,0)</f>
        <v>0</v>
      </c>
      <c r="V2" s="2">
        <f>VLOOKUP($B2,перевод!$E$4:$Y$15,21,0)</f>
        <v>1</v>
      </c>
      <c r="AF2" t="s">
        <v>48</v>
      </c>
      <c r="AG2">
        <f>ABS(MOD(COUNTIF(N4:V4,1),2)-1)</f>
        <v>0</v>
      </c>
      <c r="AH2" t="s">
        <v>51</v>
      </c>
      <c r="AI2">
        <f>D4</f>
        <v>0</v>
      </c>
      <c r="AK2" s="10" t="str">
        <f>IF(AI3=0,"Результат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Результат выполнения операции верный и корректный, совпадает с суммой десятичных эквивалентов</v>
      </c>
      <c r="AL2" s="10"/>
      <c r="AM2" s="10"/>
      <c r="AN2" s="10"/>
      <c r="AO2" s="10"/>
    </row>
    <row r="3" spans="1:41" x14ac:dyDescent="0.25">
      <c r="D3" s="7">
        <f t="shared" ref="D3:T3" si="0">IF(SUM(D1:D2,E3)&gt;1,1,0)</f>
        <v>0</v>
      </c>
      <c r="E3" s="7">
        <f t="shared" si="0"/>
        <v>0</v>
      </c>
      <c r="F3" s="7">
        <f t="shared" si="0"/>
        <v>1</v>
      </c>
      <c r="G3" s="7">
        <f>IF(SUM(G1:G2,I3)&gt;1,1,0)</f>
        <v>1</v>
      </c>
      <c r="H3" s="7" t="s">
        <v>18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>IF(SUM(L1:L2,N3)&gt;1,1,0)</f>
        <v>0</v>
      </c>
      <c r="M3" s="7" t="s">
        <v>18</v>
      </c>
      <c r="N3" s="7">
        <f t="shared" si="0"/>
        <v>0</v>
      </c>
      <c r="O3" s="7">
        <f t="shared" si="0"/>
        <v>1</v>
      </c>
      <c r="P3" s="7">
        <f t="shared" si="0"/>
        <v>1</v>
      </c>
      <c r="Q3" s="7">
        <f>IF(SUM(Q1:Q2,S3)&gt;1,1,0)</f>
        <v>1</v>
      </c>
      <c r="R3" s="7" t="s">
        <v>18</v>
      </c>
      <c r="S3" s="7">
        <f t="shared" si="0"/>
        <v>0</v>
      </c>
      <c r="T3" s="7">
        <f t="shared" si="0"/>
        <v>0</v>
      </c>
      <c r="U3" s="7">
        <f>IF(SUM(U1:U2,V3)&gt;1,1,0)</f>
        <v>1</v>
      </c>
      <c r="V3" s="7">
        <f>IF(V4=0,1,0)</f>
        <v>1</v>
      </c>
      <c r="X3" s="3"/>
      <c r="AF3" t="s">
        <v>49</v>
      </c>
      <c r="AG3">
        <f>S3</f>
        <v>0</v>
      </c>
      <c r="AH3" t="s">
        <v>52</v>
      </c>
      <c r="AI3" s="3">
        <f>INT(_xlfn.XOR(D3,E3))</f>
        <v>0</v>
      </c>
    </row>
    <row r="4" spans="1:41" ht="18" x14ac:dyDescent="0.35">
      <c r="D4" s="4">
        <f t="shared" ref="D4:T4" si="1">MOD(SUM(D1:D2,E3),2)</f>
        <v>0</v>
      </c>
      <c r="E4" s="4">
        <f t="shared" si="1"/>
        <v>1</v>
      </c>
      <c r="F4" s="4">
        <f t="shared" si="1"/>
        <v>1</v>
      </c>
      <c r="G4" s="4">
        <f>MOD(SUM(G1:G2,I3),2)</f>
        <v>0</v>
      </c>
      <c r="H4" s="4" t="s">
        <v>18</v>
      </c>
      <c r="I4" s="4">
        <f t="shared" si="1"/>
        <v>1</v>
      </c>
      <c r="J4" s="4">
        <f t="shared" si="1"/>
        <v>1</v>
      </c>
      <c r="K4" s="4">
        <f t="shared" si="1"/>
        <v>1</v>
      </c>
      <c r="L4" s="4">
        <f>MOD(SUM(L1:L2,N3),2)</f>
        <v>1</v>
      </c>
      <c r="M4" s="4" t="s">
        <v>18</v>
      </c>
      <c r="N4" s="4">
        <f t="shared" si="1"/>
        <v>1</v>
      </c>
      <c r="O4" s="4">
        <f t="shared" si="1"/>
        <v>0</v>
      </c>
      <c r="P4" s="4">
        <f t="shared" si="1"/>
        <v>0</v>
      </c>
      <c r="Q4" s="4">
        <f>MOD(SUM(Q1:Q2,S3),2)</f>
        <v>0</v>
      </c>
      <c r="R4" s="4" t="s">
        <v>18</v>
      </c>
      <c r="S4" s="4">
        <f t="shared" si="1"/>
        <v>1</v>
      </c>
      <c r="T4" s="4">
        <f t="shared" si="1"/>
        <v>1</v>
      </c>
      <c r="U4" s="4">
        <f>MOD(SUM(U1:U2,V3),2)</f>
        <v>0</v>
      </c>
      <c r="V4" s="4">
        <f>IF(MOD(V1+V2,2)=1,1,0)</f>
        <v>0</v>
      </c>
      <c r="W4" t="s">
        <v>20</v>
      </c>
      <c r="X4" s="3" cm="1">
        <f t="array" ref="X4">IF(D4=0,BinToDec16(D4&amp;E4&amp;F4&amp;G4&amp;I4&amp;J4&amp;K4&amp;L4&amp;N4&amp;O4&amp;P4&amp;Q4&amp;S4&amp;T4&amp;U4&amp;V4),-1*(65536-BinToDec16(D4&amp;E4&amp;F4&amp;G4&amp;I4&amp;J4&amp;K4&amp;L4&amp;N4&amp;O4&amp;P4&amp;Q4&amp;S4&amp;T4&amp;U4&amp;V4)))</f>
        <v>28556</v>
      </c>
      <c r="Y4" t="s">
        <v>33</v>
      </c>
      <c r="Z4">
        <f>VLOOKUP(AB4,перевод!$A$4:$C$15,3,0)+VLOOKUP(AD4,перевод!$A$4:$C$15,3,0)</f>
        <v>28556</v>
      </c>
      <c r="AA4" t="s">
        <v>36</v>
      </c>
      <c r="AB4" t="s">
        <v>34</v>
      </c>
      <c r="AC4" t="s">
        <v>19</v>
      </c>
      <c r="AD4" t="s">
        <v>35</v>
      </c>
    </row>
    <row r="5" spans="1:41" x14ac:dyDescent="0.25">
      <c r="X5" s="3"/>
    </row>
    <row r="6" spans="1:41" ht="18" x14ac:dyDescent="0.35">
      <c r="B6" t="s">
        <v>22</v>
      </c>
      <c r="C6" s="5"/>
      <c r="D6">
        <f>VLOOKUP($B6,перевод!$E$4:$Y$15,3,0)</f>
        <v>0</v>
      </c>
      <c r="E6">
        <f>VLOOKUP($B6,перевод!$E$4:$Y$15,4,0)</f>
        <v>0</v>
      </c>
      <c r="F6">
        <f>VLOOKUP($B6,перевод!$E$4:$Y$15,5,0)</f>
        <v>1</v>
      </c>
      <c r="G6">
        <f>VLOOKUP($B6,перевод!$E$4:$Y$15,6,0)</f>
        <v>1</v>
      </c>
      <c r="H6" t="str">
        <f>VLOOKUP($B6,перевод!$E$4:$Y$15,7,0)</f>
        <v>.</v>
      </c>
      <c r="I6">
        <f>VLOOKUP($B6,перевод!$E$4:$Y$15,8,0)</f>
        <v>1</v>
      </c>
      <c r="J6">
        <f>VLOOKUP($B6,перевод!$E$4:$Y$15,9,0)</f>
        <v>1</v>
      </c>
      <c r="K6">
        <f>VLOOKUP($B6,перевод!$E$4:$Y$15,10,0)</f>
        <v>1</v>
      </c>
      <c r="L6">
        <f>VLOOKUP($B6,перевод!$E$4:$Y$15,11,0)</f>
        <v>1</v>
      </c>
      <c r="M6" t="str">
        <f>VLOOKUP($B6,перевод!$E$4:$Y$15,12,0)</f>
        <v>.</v>
      </c>
      <c r="N6">
        <f>VLOOKUP($B6,перевод!$E$4:$Y$15,13,0)</f>
        <v>0</v>
      </c>
      <c r="O6">
        <f>VLOOKUP($B6,перевод!$E$4:$Y$15,14,0)</f>
        <v>1</v>
      </c>
      <c r="P6">
        <f>VLOOKUP($B6,перевод!$E$4:$Y$15,15,0)</f>
        <v>1</v>
      </c>
      <c r="Q6">
        <f>VLOOKUP($B6,перевод!$E$4:$Y$15,16,0)</f>
        <v>1</v>
      </c>
      <c r="R6" t="str">
        <f>VLOOKUP($B6,перевод!$E$4:$Y$15,17,0)</f>
        <v>.</v>
      </c>
      <c r="S6">
        <f>VLOOKUP($B6,перевод!$E$4:$Y$15,18,0)</f>
        <v>1</v>
      </c>
      <c r="T6">
        <f>VLOOKUP($B6,перевод!$E$4:$Y$15,19,0)</f>
        <v>0</v>
      </c>
      <c r="U6">
        <f>VLOOKUP($B6,перевод!$E$4:$Y$15,20,0)</f>
        <v>0</v>
      </c>
      <c r="V6">
        <f>VLOOKUP($B6,перевод!$E$4:$Y$15,21,0)</f>
        <v>1</v>
      </c>
      <c r="AF6" t="s">
        <v>47</v>
      </c>
      <c r="AG6">
        <v>0</v>
      </c>
      <c r="AH6" t="s">
        <v>50</v>
      </c>
      <c r="AI6">
        <f>IF(COUNTIF(D9:V9,0)=16,1,0)</f>
        <v>0</v>
      </c>
      <c r="AK6" t="s">
        <v>53</v>
      </c>
      <c r="AL6" t="str">
        <f>IF(D6=0,"положительного и","отрицательного и")</f>
        <v>положительного и</v>
      </c>
      <c r="AM6" t="str">
        <f>IF(D7=0,"положительного","отрицательного")</f>
        <v>положительного</v>
      </c>
      <c r="AN6" t="s">
        <v>54</v>
      </c>
      <c r="AO6" t="str">
        <f>IF(AI7=0,"положительное число","отрицательное число")</f>
        <v>отрицательное число</v>
      </c>
    </row>
    <row r="7" spans="1:41" ht="18.75" thickBot="1" x14ac:dyDescent="0.4">
      <c r="A7" s="2" t="s">
        <v>19</v>
      </c>
      <c r="B7" s="2" t="s">
        <v>23</v>
      </c>
      <c r="C7" s="6"/>
      <c r="D7" s="2">
        <f>VLOOKUP($B7,перевод!$E$4:$Y$15,3,0)</f>
        <v>0</v>
      </c>
      <c r="E7" s="2">
        <f>VLOOKUP($B7,перевод!$E$4:$Y$15,4,0)</f>
        <v>1</v>
      </c>
      <c r="F7" s="2">
        <f>VLOOKUP($B7,перевод!$E$4:$Y$15,5,0)</f>
        <v>1</v>
      </c>
      <c r="G7" s="2">
        <f>VLOOKUP($B7,перевод!$E$4:$Y$15,6,0)</f>
        <v>0</v>
      </c>
      <c r="H7" s="2" t="str">
        <f>VLOOKUP($B7,перевод!$E$4:$Y$15,7,0)</f>
        <v>.</v>
      </c>
      <c r="I7" s="2">
        <f>VLOOKUP($B7,перевод!$E$4:$Y$15,8,0)</f>
        <v>1</v>
      </c>
      <c r="J7" s="2">
        <f>VLOOKUP($B7,перевод!$E$4:$Y$15,9,0)</f>
        <v>1</v>
      </c>
      <c r="K7" s="2">
        <f>VLOOKUP($B7,перевод!$E$4:$Y$15,10,0)</f>
        <v>1</v>
      </c>
      <c r="L7" s="2">
        <f>VLOOKUP($B7,перевод!$E$4:$Y$15,11,0)</f>
        <v>1</v>
      </c>
      <c r="M7" s="2" t="str">
        <f>VLOOKUP($B7,перевод!$E$4:$Y$15,12,0)</f>
        <v>.</v>
      </c>
      <c r="N7" s="2">
        <f>VLOOKUP($B7,перевод!$E$4:$Y$15,13,0)</f>
        <v>1</v>
      </c>
      <c r="O7" s="2">
        <f>VLOOKUP($B7,перевод!$E$4:$Y$15,14,0)</f>
        <v>0</v>
      </c>
      <c r="P7" s="2">
        <f>VLOOKUP($B7,перевод!$E$4:$Y$15,15,0)</f>
        <v>0</v>
      </c>
      <c r="Q7" s="2">
        <f>VLOOKUP($B7,перевод!$E$4:$Y$15,16,0)</f>
        <v>0</v>
      </c>
      <c r="R7" s="2" t="str">
        <f>VLOOKUP($B7,перевод!$E$4:$Y$15,17,0)</f>
        <v>.</v>
      </c>
      <c r="S7" s="2">
        <f>VLOOKUP($B7,перевод!$E$4:$Y$15,18,0)</f>
        <v>1</v>
      </c>
      <c r="T7" s="2">
        <f>VLOOKUP($B7,перевод!$E$4:$Y$15,19,0)</f>
        <v>1</v>
      </c>
      <c r="U7" s="2">
        <f>VLOOKUP($B7,перевод!$E$4:$Y$15,20,0)</f>
        <v>0</v>
      </c>
      <c r="V7" s="2">
        <f>VLOOKUP($B7,перевод!$E$4:$Y$15,21,0)</f>
        <v>0</v>
      </c>
      <c r="AF7" t="s">
        <v>48</v>
      </c>
      <c r="AG7">
        <f>ABS(MOD(COUNTIF(N9:V9,1),2)-1)</f>
        <v>1</v>
      </c>
      <c r="AH7" t="s">
        <v>51</v>
      </c>
      <c r="AI7">
        <f>D9</f>
        <v>1</v>
      </c>
      <c r="AK7" s="10" t="str">
        <f>IF(AI8=0,"Результат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В результате операции было получено переполнение и как следствие несовпадение с суммой десятичных эквивалентов</v>
      </c>
      <c r="AL7" s="10"/>
      <c r="AM7" s="10"/>
      <c r="AN7" s="10"/>
      <c r="AO7" s="10"/>
    </row>
    <row r="8" spans="1:41" x14ac:dyDescent="0.25">
      <c r="D8" s="7">
        <f t="shared" ref="D8" si="2">IF(SUM(D6:D7,E8)&gt;1,1,0)</f>
        <v>0</v>
      </c>
      <c r="E8" s="7">
        <f t="shared" ref="E8" si="3">IF(SUM(E6:E7,F8)&gt;1,1,0)</f>
        <v>1</v>
      </c>
      <c r="F8" s="7">
        <f t="shared" ref="F8" si="4">IF(SUM(F6:F7,G8)&gt;1,1,0)</f>
        <v>1</v>
      </c>
      <c r="G8" s="7">
        <f>IF(SUM(G6:G7,I8)&gt;1,1,0)</f>
        <v>1</v>
      </c>
      <c r="H8" s="7" t="s">
        <v>18</v>
      </c>
      <c r="I8" s="7">
        <f t="shared" ref="I8" si="5">IF(SUM(I6:I7,J8)&gt;1,1,0)</f>
        <v>1</v>
      </c>
      <c r="J8" s="7">
        <f t="shared" ref="J8" si="6">IF(SUM(J6:J7,K8)&gt;1,1,0)</f>
        <v>1</v>
      </c>
      <c r="K8" s="7">
        <f t="shared" ref="K8" si="7">IF(SUM(K6:K7,L8)&gt;1,1,0)</f>
        <v>1</v>
      </c>
      <c r="L8" s="7">
        <f>IF(SUM(L6:L7,N8)&gt;1,1,0)</f>
        <v>1</v>
      </c>
      <c r="M8" s="7" t="s">
        <v>18</v>
      </c>
      <c r="N8" s="7">
        <f t="shared" ref="N8" si="8">IF(SUM(N6:N7,O8)&gt;1,1,0)</f>
        <v>1</v>
      </c>
      <c r="O8" s="7">
        <f t="shared" ref="O8" si="9">IF(SUM(O6:O7,P8)&gt;1,1,0)</f>
        <v>1</v>
      </c>
      <c r="P8" s="7">
        <f t="shared" ref="P8" si="10">IF(SUM(P6:P7,Q8)&gt;1,1,0)</f>
        <v>1</v>
      </c>
      <c r="Q8" s="7">
        <f>IF(SUM(Q6:Q7,S8)&gt;1,1,0)</f>
        <v>1</v>
      </c>
      <c r="R8" s="7" t="s">
        <v>18</v>
      </c>
      <c r="S8" s="7">
        <f t="shared" ref="S8" si="11">IF(SUM(S6:S7,T8)&gt;1,1,0)</f>
        <v>1</v>
      </c>
      <c r="T8" s="7">
        <f t="shared" ref="T8" si="12">IF(SUM(T6:T7,U8)&gt;1,1,0)</f>
        <v>0</v>
      </c>
      <c r="U8" s="7">
        <f>IF(SUM(U6:U7,V8)&gt;1,1,0)</f>
        <v>0</v>
      </c>
      <c r="V8" s="7">
        <f>IF(V9=0,1,0)</f>
        <v>0</v>
      </c>
      <c r="X8" s="3"/>
      <c r="AF8" t="s">
        <v>49</v>
      </c>
      <c r="AG8">
        <f>S8</f>
        <v>1</v>
      </c>
      <c r="AH8" s="9" t="s">
        <v>52</v>
      </c>
      <c r="AI8" s="8">
        <f>INT(_xlfn.XOR(D8,E8))</f>
        <v>1</v>
      </c>
    </row>
    <row r="9" spans="1:41" ht="18" x14ac:dyDescent="0.35">
      <c r="D9" s="4">
        <f t="shared" ref="D9:F9" si="13">MOD(SUM(D6:D7,E8),2)</f>
        <v>1</v>
      </c>
      <c r="E9" s="4">
        <f t="shared" si="13"/>
        <v>0</v>
      </c>
      <c r="F9" s="4">
        <f t="shared" si="13"/>
        <v>1</v>
      </c>
      <c r="G9" s="4">
        <f>MOD(SUM(G6:G7,I8),2)</f>
        <v>0</v>
      </c>
      <c r="H9" s="4" t="s">
        <v>18</v>
      </c>
      <c r="I9" s="4">
        <f t="shared" ref="I9:K9" si="14">MOD(SUM(I6:I7,J8),2)</f>
        <v>1</v>
      </c>
      <c r="J9" s="4">
        <f t="shared" si="14"/>
        <v>1</v>
      </c>
      <c r="K9" s="4">
        <f t="shared" si="14"/>
        <v>1</v>
      </c>
      <c r="L9" s="4">
        <f>MOD(SUM(L6:L7,N8),2)</f>
        <v>1</v>
      </c>
      <c r="M9" s="4" t="s">
        <v>18</v>
      </c>
      <c r="N9" s="4">
        <f t="shared" ref="N9:P9" si="15">MOD(SUM(N6:N7,O8),2)</f>
        <v>0</v>
      </c>
      <c r="O9" s="4">
        <f t="shared" si="15"/>
        <v>0</v>
      </c>
      <c r="P9" s="4">
        <f t="shared" si="15"/>
        <v>0</v>
      </c>
      <c r="Q9" s="4">
        <f>MOD(SUM(Q6:Q7,S8),2)</f>
        <v>0</v>
      </c>
      <c r="R9" s="4" t="s">
        <v>18</v>
      </c>
      <c r="S9" s="4">
        <f t="shared" ref="S9:T9" si="16">MOD(SUM(S6:S7,T8),2)</f>
        <v>0</v>
      </c>
      <c r="T9" s="4">
        <f t="shared" si="16"/>
        <v>1</v>
      </c>
      <c r="U9" s="4">
        <f>MOD(SUM(U6:U7,V8),2)</f>
        <v>0</v>
      </c>
      <c r="V9" s="4">
        <f>IF(MOD(V6+V7,2)=1,1,0)</f>
        <v>1</v>
      </c>
      <c r="W9" t="s">
        <v>20</v>
      </c>
      <c r="X9" s="8" cm="1">
        <f t="array" ref="X9">IF(D9=0,BinToDec16(D9&amp;E9&amp;F9&amp;G9&amp;I9&amp;J9&amp;K9&amp;L9&amp;N9&amp;O9&amp;P9&amp;Q9&amp;S9&amp;T9&amp;U9&amp;V9),-1*(65536-BinToDec16(D9&amp;E9&amp;F9&amp;G9&amp;I9&amp;J9&amp;K9&amp;L9&amp;N9&amp;O9&amp;P9&amp;Q9&amp;S9&amp;T9&amp;U9&amp;V9)))</f>
        <v>-20731</v>
      </c>
      <c r="Y9" s="9" t="s">
        <v>33</v>
      </c>
      <c r="Z9" s="9">
        <f>VLOOKUP(AB9,перевод!$A$4:$C$15,3,0)+VLOOKUP(AD9,перевод!$A$4:$C$15,3,0)</f>
        <v>44805</v>
      </c>
      <c r="AA9" t="s">
        <v>36</v>
      </c>
      <c r="AB9" t="s">
        <v>35</v>
      </c>
      <c r="AC9" t="s">
        <v>19</v>
      </c>
      <c r="AD9" t="s">
        <v>37</v>
      </c>
    </row>
    <row r="11" spans="1:41" ht="18" x14ac:dyDescent="0.35">
      <c r="B11" t="s">
        <v>22</v>
      </c>
      <c r="C11" s="5"/>
      <c r="D11">
        <f>VLOOKUP($B11,перевод!$E$4:$Y$15,3,0)</f>
        <v>0</v>
      </c>
      <c r="E11">
        <f>VLOOKUP($B11,перевод!$E$4:$Y$15,4,0)</f>
        <v>0</v>
      </c>
      <c r="F11">
        <f>VLOOKUP($B11,перевод!$E$4:$Y$15,5,0)</f>
        <v>1</v>
      </c>
      <c r="G11">
        <f>VLOOKUP($B11,перевод!$E$4:$Y$15,6,0)</f>
        <v>1</v>
      </c>
      <c r="H11" t="str">
        <f>VLOOKUP($B11,перевод!$E$4:$Y$15,7,0)</f>
        <v>.</v>
      </c>
      <c r="I11">
        <f>VLOOKUP($B11,перевод!$E$4:$Y$15,8,0)</f>
        <v>1</v>
      </c>
      <c r="J11">
        <f>VLOOKUP($B11,перевод!$E$4:$Y$15,9,0)</f>
        <v>1</v>
      </c>
      <c r="K11">
        <f>VLOOKUP($B11,перевод!$E$4:$Y$15,10,0)</f>
        <v>1</v>
      </c>
      <c r="L11">
        <f>VLOOKUP($B11,перевод!$E$4:$Y$15,11,0)</f>
        <v>1</v>
      </c>
      <c r="M11" t="str">
        <f>VLOOKUP($B11,перевод!$E$4:$Y$15,12,0)</f>
        <v>.</v>
      </c>
      <c r="N11">
        <f>VLOOKUP($B11,перевод!$E$4:$Y$15,13,0)</f>
        <v>0</v>
      </c>
      <c r="O11">
        <f>VLOOKUP($B11,перевод!$E$4:$Y$15,14,0)</f>
        <v>1</v>
      </c>
      <c r="P11">
        <f>VLOOKUP($B11,перевод!$E$4:$Y$15,15,0)</f>
        <v>1</v>
      </c>
      <c r="Q11">
        <f>VLOOKUP($B11,перевод!$E$4:$Y$15,16,0)</f>
        <v>1</v>
      </c>
      <c r="R11" t="str">
        <f>VLOOKUP($B11,перевод!$E$4:$Y$15,17,0)</f>
        <v>.</v>
      </c>
      <c r="S11">
        <f>VLOOKUP($B11,перевод!$E$4:$Y$15,18,0)</f>
        <v>1</v>
      </c>
      <c r="T11">
        <f>VLOOKUP($B11,перевод!$E$4:$Y$15,19,0)</f>
        <v>0</v>
      </c>
      <c r="U11">
        <f>VLOOKUP($B11,перевод!$E$4:$Y$15,20,0)</f>
        <v>0</v>
      </c>
      <c r="V11">
        <f>VLOOKUP($B11,перевод!$E$4:$Y$15,21,0)</f>
        <v>1</v>
      </c>
      <c r="AF11" t="s">
        <v>47</v>
      </c>
      <c r="AG11">
        <v>0</v>
      </c>
      <c r="AH11" t="s">
        <v>50</v>
      </c>
      <c r="AI11">
        <f>IF(COUNTIF(D14:V14,0)=16,1,0)</f>
        <v>0</v>
      </c>
      <c r="AK11" t="s">
        <v>53</v>
      </c>
      <c r="AL11" t="str">
        <f>IF(D11=0,"положительного и","отрицательного и")</f>
        <v>положительного и</v>
      </c>
      <c r="AM11" t="str">
        <f>IF(D12=0,"положительного","отрицательного")</f>
        <v>отрицательного</v>
      </c>
      <c r="AN11" t="s">
        <v>54</v>
      </c>
      <c r="AO11" t="str">
        <f>IF(AI12=0,"положительное число","отрицательное число")</f>
        <v>положительное число</v>
      </c>
    </row>
    <row r="12" spans="1:41" ht="18.75" thickBot="1" x14ac:dyDescent="0.4">
      <c r="A12" s="2" t="s">
        <v>19</v>
      </c>
      <c r="B12" s="2" t="s">
        <v>27</v>
      </c>
      <c r="C12" s="6"/>
      <c r="D12" s="2">
        <f>VLOOKUP($B12,перевод!$E$4:$Y$15,3,0)</f>
        <v>1</v>
      </c>
      <c r="E12" s="2">
        <f>VLOOKUP($B12,перевод!$E$4:$Y$15,4,0)</f>
        <v>1</v>
      </c>
      <c r="F12" s="2">
        <f>VLOOKUP($B12,перевод!$E$4:$Y$15,5,0)</f>
        <v>0</v>
      </c>
      <c r="G12" s="2">
        <f>VLOOKUP($B12,перевод!$E$4:$Y$15,6,0)</f>
        <v>0</v>
      </c>
      <c r="H12" s="2" t="str">
        <f>VLOOKUP($B12,перевод!$E$4:$Y$15,7,0)</f>
        <v>.</v>
      </c>
      <c r="I12" s="2">
        <f>VLOOKUP($B12,перевод!$E$4:$Y$15,8,0)</f>
        <v>1</v>
      </c>
      <c r="J12" s="2">
        <f>VLOOKUP($B12,перевод!$E$4:$Y$15,9,0)</f>
        <v>1</v>
      </c>
      <c r="K12" s="2">
        <f>VLOOKUP($B12,перевод!$E$4:$Y$15,10,0)</f>
        <v>1</v>
      </c>
      <c r="L12" s="2">
        <f>VLOOKUP($B12,перевод!$E$4:$Y$15,11,0)</f>
        <v>1</v>
      </c>
      <c r="M12" s="2" t="str">
        <f>VLOOKUP($B12,перевод!$E$4:$Y$15,12,0)</f>
        <v>.</v>
      </c>
      <c r="N12" s="2">
        <f>VLOOKUP($B12,перевод!$E$4:$Y$15,13,0)</f>
        <v>1</v>
      </c>
      <c r="O12" s="2">
        <f>VLOOKUP($B12,перевод!$E$4:$Y$15,14,0)</f>
        <v>1</v>
      </c>
      <c r="P12" s="2">
        <f>VLOOKUP($B12,перевод!$E$4:$Y$15,15,0)</f>
        <v>1</v>
      </c>
      <c r="Q12" s="2">
        <f>VLOOKUP($B12,перевод!$E$4:$Y$15,16,0)</f>
        <v>0</v>
      </c>
      <c r="R12" s="2" t="str">
        <f>VLOOKUP($B12,перевод!$E$4:$Y$15,17,0)</f>
        <v>.</v>
      </c>
      <c r="S12" s="2">
        <f>VLOOKUP($B12,перевод!$E$4:$Y$15,18,0)</f>
        <v>1</v>
      </c>
      <c r="T12" s="2">
        <f>VLOOKUP($B12,перевод!$E$4:$Y$15,19,0)</f>
        <v>1</v>
      </c>
      <c r="U12" s="2">
        <f>VLOOKUP($B12,перевод!$E$4:$Y$15,20,0)</f>
        <v>0</v>
      </c>
      <c r="V12" s="2">
        <f>VLOOKUP($B12,перевод!$E$4:$Y$15,21,0)</f>
        <v>1</v>
      </c>
      <c r="AF12" t="s">
        <v>48</v>
      </c>
      <c r="AG12">
        <f>ABS(MOD(COUNTIF(N14:V14,1),2)-1)</f>
        <v>1</v>
      </c>
      <c r="AH12" t="s">
        <v>51</v>
      </c>
      <c r="AI12">
        <f>D14</f>
        <v>0</v>
      </c>
      <c r="AK12" s="10" t="str">
        <f>IF(AI13=0,"Результат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Результат выполнения операции верный и корректный, совпадает с суммой десятичных эквивалентов</v>
      </c>
      <c r="AL12" s="10"/>
      <c r="AM12" s="10"/>
      <c r="AN12" s="10"/>
      <c r="AO12" s="10"/>
    </row>
    <row r="13" spans="1:41" x14ac:dyDescent="0.25">
      <c r="D13" s="7">
        <f t="shared" ref="D13" si="17">IF(SUM(D11:D12,E13)&gt;1,1,0)</f>
        <v>1</v>
      </c>
      <c r="E13" s="7">
        <f t="shared" ref="E13" si="18">IF(SUM(E11:E12,F13)&gt;1,1,0)</f>
        <v>1</v>
      </c>
      <c r="F13" s="7">
        <f t="shared" ref="F13" si="19">IF(SUM(F11:F12,G13)&gt;1,1,0)</f>
        <v>1</v>
      </c>
      <c r="G13" s="7">
        <f>IF(SUM(G11:G12,I13)&gt;1,1,0)</f>
        <v>1</v>
      </c>
      <c r="H13" s="7" t="s">
        <v>18</v>
      </c>
      <c r="I13" s="7">
        <f t="shared" ref="I13" si="20">IF(SUM(I11:I12,J13)&gt;1,1,0)</f>
        <v>1</v>
      </c>
      <c r="J13" s="7">
        <f t="shared" ref="J13" si="21">IF(SUM(J11:J12,K13)&gt;1,1,0)</f>
        <v>1</v>
      </c>
      <c r="K13" s="7">
        <f t="shared" ref="K13" si="22">IF(SUM(K11:K12,L13)&gt;1,1,0)</f>
        <v>1</v>
      </c>
      <c r="L13" s="7">
        <f>IF(SUM(L11:L12,N13)&gt;1,1,0)</f>
        <v>1</v>
      </c>
      <c r="M13" s="7" t="s">
        <v>18</v>
      </c>
      <c r="N13" s="7">
        <f t="shared" ref="N13" si="23">IF(SUM(N11:N12,O13)&gt;1,1,0)</f>
        <v>1</v>
      </c>
      <c r="O13" s="7">
        <f t="shared" ref="O13" si="24">IF(SUM(O11:O12,P13)&gt;1,1,0)</f>
        <v>1</v>
      </c>
      <c r="P13" s="7">
        <f t="shared" ref="P13" si="25">IF(SUM(P11:P12,Q13)&gt;1,1,0)</f>
        <v>1</v>
      </c>
      <c r="Q13" s="7">
        <f>IF(SUM(Q11:Q12,S13)&gt;1,1,0)</f>
        <v>1</v>
      </c>
      <c r="R13" s="7" t="s">
        <v>18</v>
      </c>
      <c r="S13" s="7">
        <f t="shared" ref="S13" si="26">IF(SUM(S11:S12,T13)&gt;1,1,0)</f>
        <v>1</v>
      </c>
      <c r="T13" s="7">
        <f t="shared" ref="T13" si="27">IF(SUM(T11:T12,U13)&gt;1,1,0)</f>
        <v>0</v>
      </c>
      <c r="U13" s="7">
        <f>IF(SUM(U11:U12,V13)&gt;1,1,0)</f>
        <v>0</v>
      </c>
      <c r="V13" s="7">
        <f>IF(V14=0,1,0)</f>
        <v>1</v>
      </c>
      <c r="X13" s="3"/>
      <c r="AF13" t="s">
        <v>49</v>
      </c>
      <c r="AG13">
        <f>S13</f>
        <v>1</v>
      </c>
      <c r="AH13" t="s">
        <v>52</v>
      </c>
      <c r="AI13" s="3">
        <f>INT(_xlfn.XOR(D13,E13))</f>
        <v>0</v>
      </c>
    </row>
    <row r="14" spans="1:41" ht="18" x14ac:dyDescent="0.35">
      <c r="D14" s="4">
        <f t="shared" ref="D14:F14" si="28">MOD(SUM(D11:D12,E13),2)</f>
        <v>0</v>
      </c>
      <c r="E14" s="4">
        <f t="shared" si="28"/>
        <v>0</v>
      </c>
      <c r="F14" s="4">
        <f t="shared" si="28"/>
        <v>0</v>
      </c>
      <c r="G14" s="4">
        <f>MOD(SUM(G11:G12,I13),2)</f>
        <v>0</v>
      </c>
      <c r="H14" s="4" t="s">
        <v>18</v>
      </c>
      <c r="I14" s="4">
        <f t="shared" ref="I14:K14" si="29">MOD(SUM(I11:I12,J13),2)</f>
        <v>1</v>
      </c>
      <c r="J14" s="4">
        <f t="shared" si="29"/>
        <v>1</v>
      </c>
      <c r="K14" s="4">
        <f t="shared" si="29"/>
        <v>1</v>
      </c>
      <c r="L14" s="4">
        <f>MOD(SUM(L11:L12,N13),2)</f>
        <v>1</v>
      </c>
      <c r="M14" s="4" t="s">
        <v>18</v>
      </c>
      <c r="N14" s="4">
        <f t="shared" ref="N14:P14" si="30">MOD(SUM(N11:N12,O13),2)</f>
        <v>0</v>
      </c>
      <c r="O14" s="4">
        <f t="shared" si="30"/>
        <v>1</v>
      </c>
      <c r="P14" s="4">
        <f t="shared" si="30"/>
        <v>1</v>
      </c>
      <c r="Q14" s="4">
        <f>MOD(SUM(Q11:Q12,S13),2)</f>
        <v>0</v>
      </c>
      <c r="R14" s="4" t="s">
        <v>18</v>
      </c>
      <c r="S14" s="4">
        <f t="shared" ref="S14:T14" si="31">MOD(SUM(S11:S12,T13),2)</f>
        <v>0</v>
      </c>
      <c r="T14" s="4">
        <f t="shared" si="31"/>
        <v>1</v>
      </c>
      <c r="U14" s="4">
        <f>MOD(SUM(U11:U12,V13),2)</f>
        <v>1</v>
      </c>
      <c r="V14" s="4">
        <f>IF(MOD(V11+V12,2)=1,1,0)</f>
        <v>0</v>
      </c>
      <c r="W14" t="s">
        <v>20</v>
      </c>
      <c r="X14" s="3" cm="1">
        <f t="array" ref="X14">IF(D14=0,BinToDec16(D14&amp;E14&amp;F14&amp;G14&amp;I14&amp;J14&amp;K14&amp;L14&amp;N14&amp;O14&amp;P14&amp;Q14&amp;S14&amp;T14&amp;U14&amp;V14),-1*(65536-BinToDec16(D14&amp;E14&amp;F14&amp;G14&amp;I14&amp;J14&amp;K14&amp;L14&amp;N14&amp;O14&amp;P14&amp;Q14&amp;S14&amp;T14&amp;U14&amp;V14)))</f>
        <v>3942</v>
      </c>
      <c r="Y14" t="s">
        <v>33</v>
      </c>
      <c r="Z14">
        <f>VLOOKUP(AB14,перевод!$A$4:$C$15,3,0)+VLOOKUP(AD14,перевод!$A$4:$C$15,3,0)</f>
        <v>3942</v>
      </c>
      <c r="AA14" t="s">
        <v>36</v>
      </c>
      <c r="AB14" t="s">
        <v>35</v>
      </c>
      <c r="AC14" t="s">
        <v>19</v>
      </c>
      <c r="AD14" t="s">
        <v>41</v>
      </c>
    </row>
    <row r="16" spans="1:41" ht="18" x14ac:dyDescent="0.35">
      <c r="B16" t="s">
        <v>27</v>
      </c>
      <c r="C16" s="5"/>
      <c r="D16">
        <f>VLOOKUP($B16,перевод!$E$4:$Y$15,3,0)</f>
        <v>1</v>
      </c>
      <c r="E16">
        <f>VLOOKUP($B16,перевод!$E$4:$Y$15,4,0)</f>
        <v>1</v>
      </c>
      <c r="F16">
        <f>VLOOKUP($B16,перевод!$E$4:$Y$15,5,0)</f>
        <v>0</v>
      </c>
      <c r="G16">
        <f>VLOOKUP($B16,перевод!$E$4:$Y$15,6,0)</f>
        <v>0</v>
      </c>
      <c r="H16" t="str">
        <f>VLOOKUP($B16,перевод!$E$4:$Y$15,7,0)</f>
        <v>.</v>
      </c>
      <c r="I16">
        <f>VLOOKUP($B16,перевод!$E$4:$Y$15,8,0)</f>
        <v>1</v>
      </c>
      <c r="J16">
        <f>VLOOKUP($B16,перевод!$E$4:$Y$15,9,0)</f>
        <v>1</v>
      </c>
      <c r="K16">
        <f>VLOOKUP($B16,перевод!$E$4:$Y$15,10,0)</f>
        <v>1</v>
      </c>
      <c r="L16">
        <f>VLOOKUP($B16,перевод!$E$4:$Y$15,11,0)</f>
        <v>1</v>
      </c>
      <c r="M16" t="str">
        <f>VLOOKUP($B16,перевод!$E$4:$Y$15,12,0)</f>
        <v>.</v>
      </c>
      <c r="N16">
        <f>VLOOKUP($B16,перевод!$E$4:$Y$15,13,0)</f>
        <v>1</v>
      </c>
      <c r="O16">
        <f>VLOOKUP($B16,перевод!$E$4:$Y$15,14,0)</f>
        <v>1</v>
      </c>
      <c r="P16">
        <f>VLOOKUP($B16,перевод!$E$4:$Y$15,15,0)</f>
        <v>1</v>
      </c>
      <c r="Q16">
        <f>VLOOKUP($B16,перевод!$E$4:$Y$15,16,0)</f>
        <v>0</v>
      </c>
      <c r="R16" t="str">
        <f>VLOOKUP($B16,перевод!$E$4:$Y$15,17,0)</f>
        <v>.</v>
      </c>
      <c r="S16">
        <f>VLOOKUP($B16,перевод!$E$4:$Y$15,18,0)</f>
        <v>1</v>
      </c>
      <c r="T16">
        <f>VLOOKUP($B16,перевод!$E$4:$Y$15,19,0)</f>
        <v>1</v>
      </c>
      <c r="U16">
        <f>VLOOKUP($B16,перевод!$E$4:$Y$15,20,0)</f>
        <v>0</v>
      </c>
      <c r="V16">
        <f>VLOOKUP($B16,перевод!$E$4:$Y$15,21,0)</f>
        <v>1</v>
      </c>
      <c r="X16" s="3"/>
      <c r="AF16" t="s">
        <v>47</v>
      </c>
      <c r="AG16">
        <v>0</v>
      </c>
      <c r="AH16" t="s">
        <v>50</v>
      </c>
      <c r="AI16">
        <f>IF(COUNTIF(D19:V19,0)=16,1,0)</f>
        <v>0</v>
      </c>
      <c r="AK16" t="s">
        <v>53</v>
      </c>
      <c r="AL16" t="str">
        <f>IF(D16=0,"положительного и","отрицательного и")</f>
        <v>отрицательного и</v>
      </c>
      <c r="AM16" t="str">
        <f>IF(D17=0,"положительного","отрицательного")</f>
        <v>отрицательного</v>
      </c>
      <c r="AN16" t="s">
        <v>54</v>
      </c>
      <c r="AO16" t="str">
        <f>IF(AI17=0,"положительное число","отрицательное число")</f>
        <v>отрицательное число</v>
      </c>
    </row>
    <row r="17" spans="1:41" ht="18.75" thickBot="1" x14ac:dyDescent="0.4">
      <c r="A17" s="2" t="s">
        <v>19</v>
      </c>
      <c r="B17" s="2" t="s">
        <v>28</v>
      </c>
      <c r="C17" s="6"/>
      <c r="D17" s="2">
        <f>VLOOKUP($B17,перевод!$E$4:$Y$15,3,0)</f>
        <v>1</v>
      </c>
      <c r="E17" s="2">
        <f>VLOOKUP($B17,перевод!$E$4:$Y$15,4,0)</f>
        <v>1</v>
      </c>
      <c r="F17" s="2">
        <f>VLOOKUP($B17,перевод!$E$4:$Y$15,5,0)</f>
        <v>0</v>
      </c>
      <c r="G17" s="2">
        <f>VLOOKUP($B17,перевод!$E$4:$Y$15,6,0)</f>
        <v>0</v>
      </c>
      <c r="H17" s="2" t="str">
        <f>VLOOKUP($B17,перевод!$E$4:$Y$15,7,0)</f>
        <v>.</v>
      </c>
      <c r="I17" s="2">
        <f>VLOOKUP($B17,перевод!$E$4:$Y$15,8,0)</f>
        <v>0</v>
      </c>
      <c r="J17" s="2">
        <f>VLOOKUP($B17,перевод!$E$4:$Y$15,9,0)</f>
        <v>0</v>
      </c>
      <c r="K17" s="2">
        <f>VLOOKUP($B17,перевод!$E$4:$Y$15,10,0)</f>
        <v>0</v>
      </c>
      <c r="L17" s="2">
        <f>VLOOKUP($B17,перевод!$E$4:$Y$15,11,0)</f>
        <v>0</v>
      </c>
      <c r="M17" s="2" t="str">
        <f>VLOOKUP($B17,перевод!$E$4:$Y$15,12,0)</f>
        <v>.</v>
      </c>
      <c r="N17" s="2">
        <f>VLOOKUP($B17,перевод!$E$4:$Y$15,13,0)</f>
        <v>1</v>
      </c>
      <c r="O17" s="2">
        <f>VLOOKUP($B17,перевод!$E$4:$Y$15,14,0)</f>
        <v>0</v>
      </c>
      <c r="P17" s="2">
        <f>VLOOKUP($B17,перевод!$E$4:$Y$15,15,0)</f>
        <v>0</v>
      </c>
      <c r="Q17" s="2">
        <f>VLOOKUP($B17,перевод!$E$4:$Y$15,16,0)</f>
        <v>0</v>
      </c>
      <c r="R17" s="2" t="str">
        <f>VLOOKUP($B17,перевод!$E$4:$Y$15,17,0)</f>
        <v>.</v>
      </c>
      <c r="S17" s="2">
        <f>VLOOKUP($B17,перевод!$E$4:$Y$15,18,0)</f>
        <v>0</v>
      </c>
      <c r="T17" s="2">
        <f>VLOOKUP($B17,перевод!$E$4:$Y$15,19,0)</f>
        <v>1</v>
      </c>
      <c r="U17" s="2">
        <f>VLOOKUP($B17,перевод!$E$4:$Y$15,20,0)</f>
        <v>1</v>
      </c>
      <c r="V17" s="2">
        <f>VLOOKUP($B17,перевод!$E$4:$Y$15,21,0)</f>
        <v>1</v>
      </c>
      <c r="X17" s="3"/>
      <c r="AF17" t="s">
        <v>48</v>
      </c>
      <c r="AG17">
        <f>ABS(MOD(COUNTIF(N19:V19,1),2)-1)</f>
        <v>1</v>
      </c>
      <c r="AH17" t="s">
        <v>51</v>
      </c>
      <c r="AI17">
        <f>D19</f>
        <v>1</v>
      </c>
      <c r="AK17" s="10" t="str">
        <f>IF(AI18=0,"Результат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Результат выполнения операции верный и корректный, совпадает с суммой десятичных эквивалентов</v>
      </c>
      <c r="AL17" s="10"/>
      <c r="AM17" s="10"/>
      <c r="AN17" s="10"/>
      <c r="AO17" s="10"/>
    </row>
    <row r="18" spans="1:41" x14ac:dyDescent="0.25">
      <c r="D18" s="7">
        <f t="shared" ref="D18" si="32">IF(SUM(D16:D17,E18)&gt;1,1,0)</f>
        <v>1</v>
      </c>
      <c r="E18" s="7">
        <f t="shared" ref="E18" si="33">IF(SUM(E16:E17,F18)&gt;1,1,0)</f>
        <v>1</v>
      </c>
      <c r="F18" s="7">
        <f t="shared" ref="F18" si="34">IF(SUM(F16:F17,G18)&gt;1,1,0)</f>
        <v>0</v>
      </c>
      <c r="G18" s="7">
        <f>IF(SUM(G16:G17,I18)&gt;1,1,0)</f>
        <v>0</v>
      </c>
      <c r="H18" s="7" t="s">
        <v>18</v>
      </c>
      <c r="I18" s="7">
        <f t="shared" ref="I18" si="35">IF(SUM(I16:I17,J18)&gt;1,1,0)</f>
        <v>1</v>
      </c>
      <c r="J18" s="7">
        <f t="shared" ref="J18" si="36">IF(SUM(J16:J17,K18)&gt;1,1,0)</f>
        <v>1</v>
      </c>
      <c r="K18" s="7">
        <f t="shared" ref="K18" si="37">IF(SUM(K16:K17,L18)&gt;1,1,0)</f>
        <v>1</v>
      </c>
      <c r="L18" s="7">
        <f>IF(SUM(L16:L17,N18)&gt;1,1,0)</f>
        <v>1</v>
      </c>
      <c r="M18" s="7" t="s">
        <v>18</v>
      </c>
      <c r="N18" s="7">
        <f t="shared" ref="N18" si="38">IF(SUM(N16:N17,O18)&gt;1,1,0)</f>
        <v>1</v>
      </c>
      <c r="O18" s="7">
        <f t="shared" ref="O18" si="39">IF(SUM(O16:O17,P18)&gt;1,1,0)</f>
        <v>0</v>
      </c>
      <c r="P18" s="7">
        <f t="shared" ref="P18" si="40">IF(SUM(P16:P17,Q18)&gt;1,1,0)</f>
        <v>0</v>
      </c>
      <c r="Q18" s="7">
        <f>IF(SUM(Q16:Q17,S18)&gt;1,1,0)</f>
        <v>0</v>
      </c>
      <c r="R18" s="7" t="s">
        <v>18</v>
      </c>
      <c r="S18" s="7">
        <f t="shared" ref="S18" si="41">IF(SUM(S16:S17,T18)&gt;1,1,0)</f>
        <v>1</v>
      </c>
      <c r="T18" s="7">
        <f t="shared" ref="T18" si="42">IF(SUM(T16:T17,U18)&gt;1,1,0)</f>
        <v>1</v>
      </c>
      <c r="U18" s="7">
        <f>IF(SUM(U16:U17,V18)&gt;1,1,0)</f>
        <v>1</v>
      </c>
      <c r="V18" s="7">
        <f>IF(V19=0,1,0)</f>
        <v>1</v>
      </c>
      <c r="X18" s="3"/>
      <c r="AF18" t="s">
        <v>49</v>
      </c>
      <c r="AG18">
        <f>S18</f>
        <v>1</v>
      </c>
      <c r="AH18" t="s">
        <v>52</v>
      </c>
      <c r="AI18" s="3">
        <f>INT(_xlfn.XOR(D18,E18))</f>
        <v>0</v>
      </c>
    </row>
    <row r="19" spans="1:41" ht="18" x14ac:dyDescent="0.35">
      <c r="D19" s="4">
        <f t="shared" ref="D19:F19" si="43">MOD(SUM(D16:D17,E18),2)</f>
        <v>1</v>
      </c>
      <c r="E19" s="4">
        <f t="shared" si="43"/>
        <v>0</v>
      </c>
      <c r="F19" s="4">
        <f t="shared" si="43"/>
        <v>0</v>
      </c>
      <c r="G19" s="4">
        <f>MOD(SUM(G16:G17,I18),2)</f>
        <v>1</v>
      </c>
      <c r="H19" s="4" t="s">
        <v>18</v>
      </c>
      <c r="I19" s="4">
        <f t="shared" ref="I19:K19" si="44">MOD(SUM(I16:I17,J18),2)</f>
        <v>0</v>
      </c>
      <c r="J19" s="4">
        <f t="shared" si="44"/>
        <v>0</v>
      </c>
      <c r="K19" s="4">
        <f t="shared" si="44"/>
        <v>0</v>
      </c>
      <c r="L19" s="4">
        <f>MOD(SUM(L16:L17,N18),2)</f>
        <v>0</v>
      </c>
      <c r="M19" s="4" t="s">
        <v>18</v>
      </c>
      <c r="N19" s="4">
        <f t="shared" ref="N19:P19" si="45">MOD(SUM(N16:N17,O18),2)</f>
        <v>0</v>
      </c>
      <c r="O19" s="4">
        <f t="shared" si="45"/>
        <v>1</v>
      </c>
      <c r="P19" s="4">
        <f t="shared" si="45"/>
        <v>1</v>
      </c>
      <c r="Q19" s="4">
        <f>MOD(SUM(Q16:Q17,S18),2)</f>
        <v>1</v>
      </c>
      <c r="R19" s="4" t="s">
        <v>18</v>
      </c>
      <c r="S19" s="4">
        <f t="shared" ref="S19:T19" si="46">MOD(SUM(S16:S17,T18),2)</f>
        <v>0</v>
      </c>
      <c r="T19" s="4">
        <f t="shared" si="46"/>
        <v>1</v>
      </c>
      <c r="U19" s="4">
        <f>MOD(SUM(U16:U17,V18),2)</f>
        <v>0</v>
      </c>
      <c r="V19" s="4">
        <f>IF(MOD(V16+V17,2)=1,1,0)</f>
        <v>0</v>
      </c>
      <c r="W19" t="s">
        <v>20</v>
      </c>
      <c r="X19" s="3" cm="1">
        <f t="array" ref="X19">IF(D19=0,BinToDec16(D19&amp;E19&amp;F19&amp;G19&amp;I19&amp;J19&amp;K19&amp;L19&amp;N19&amp;O19&amp;P19&amp;Q19&amp;S19&amp;T19&amp;U19&amp;V19),-1*(65536-BinToDec16(D19&amp;E19&amp;F19&amp;G19&amp;I19&amp;J19&amp;K19&amp;L19&amp;N19&amp;O19&amp;P19&amp;Q19&amp;S19&amp;T19&amp;U19&amp;V19)))</f>
        <v>-28556</v>
      </c>
      <c r="Y19" t="s">
        <v>33</v>
      </c>
      <c r="Z19">
        <f>VLOOKUP(AB19,перевод!$A$4:$C$15,3,0)+VLOOKUP(AD19,перевод!$A$4:$C$15,3,0)</f>
        <v>-28556</v>
      </c>
      <c r="AA19" t="s">
        <v>36</v>
      </c>
      <c r="AB19" t="s">
        <v>41</v>
      </c>
      <c r="AC19" t="s">
        <v>19</v>
      </c>
      <c r="AD19" t="s">
        <v>42</v>
      </c>
    </row>
    <row r="21" spans="1:41" ht="18" x14ac:dyDescent="0.35">
      <c r="B21" t="s">
        <v>28</v>
      </c>
      <c r="C21" s="5"/>
      <c r="D21">
        <f>VLOOKUP($B21,перевод!$E$4:$Y$15,3,0)</f>
        <v>1</v>
      </c>
      <c r="E21">
        <f>VLOOKUP($B21,перевод!$E$4:$Y$15,4,0)</f>
        <v>1</v>
      </c>
      <c r="F21">
        <f>VLOOKUP($B21,перевод!$E$4:$Y$15,5,0)</f>
        <v>0</v>
      </c>
      <c r="G21">
        <f>VLOOKUP($B21,перевод!$E$4:$Y$15,6,0)</f>
        <v>0</v>
      </c>
      <c r="H21" t="str">
        <f>VLOOKUP($B21,перевод!$E$4:$Y$15,7,0)</f>
        <v>.</v>
      </c>
      <c r="I21">
        <f>VLOOKUP($B21,перевод!$E$4:$Y$15,8,0)</f>
        <v>0</v>
      </c>
      <c r="J21">
        <f>VLOOKUP($B21,перевод!$E$4:$Y$15,9,0)</f>
        <v>0</v>
      </c>
      <c r="K21">
        <f>VLOOKUP($B21,перевод!$E$4:$Y$15,10,0)</f>
        <v>0</v>
      </c>
      <c r="L21">
        <f>VLOOKUP($B21,перевод!$E$4:$Y$15,11,0)</f>
        <v>0</v>
      </c>
      <c r="M21" t="str">
        <f>VLOOKUP($B21,перевод!$E$4:$Y$15,12,0)</f>
        <v>.</v>
      </c>
      <c r="N21">
        <f>VLOOKUP($B21,перевод!$E$4:$Y$15,13,0)</f>
        <v>1</v>
      </c>
      <c r="O21">
        <f>VLOOKUP($B21,перевод!$E$4:$Y$15,14,0)</f>
        <v>0</v>
      </c>
      <c r="P21">
        <f>VLOOKUP($B21,перевод!$E$4:$Y$15,15,0)</f>
        <v>0</v>
      </c>
      <c r="Q21">
        <f>VLOOKUP($B21,перевод!$E$4:$Y$15,16,0)</f>
        <v>0</v>
      </c>
      <c r="R21" t="str">
        <f>VLOOKUP($B21,перевод!$E$4:$Y$15,17,0)</f>
        <v>.</v>
      </c>
      <c r="S21">
        <f>VLOOKUP($B21,перевод!$E$4:$Y$15,18,0)</f>
        <v>0</v>
      </c>
      <c r="T21">
        <f>VLOOKUP($B21,перевод!$E$4:$Y$15,19,0)</f>
        <v>1</v>
      </c>
      <c r="U21">
        <f>VLOOKUP($B21,перевод!$E$4:$Y$15,20,0)</f>
        <v>1</v>
      </c>
      <c r="V21">
        <f>VLOOKUP($B21,перевод!$E$4:$Y$15,21,0)</f>
        <v>1</v>
      </c>
      <c r="AF21" t="s">
        <v>47</v>
      </c>
      <c r="AG21">
        <v>0</v>
      </c>
      <c r="AH21" t="s">
        <v>50</v>
      </c>
      <c r="AI21">
        <f>IF(COUNTIF(D24:V24,0)=16,1,0)</f>
        <v>0</v>
      </c>
      <c r="AK21" t="s">
        <v>53</v>
      </c>
      <c r="AL21" t="str">
        <f>IF(D21=0,"положительного и","отрицательного и")</f>
        <v>отрицательного и</v>
      </c>
      <c r="AM21" t="str">
        <f>IF(D22=0,"положительного","отрицательного")</f>
        <v>отрицательного</v>
      </c>
      <c r="AN21" t="s">
        <v>54</v>
      </c>
      <c r="AO21" t="str">
        <f>IF(AI22=0,"положительное число","отрицательное число")</f>
        <v>положительное число</v>
      </c>
    </row>
    <row r="22" spans="1:41" ht="18.75" thickBot="1" x14ac:dyDescent="0.4">
      <c r="A22" s="2" t="s">
        <v>19</v>
      </c>
      <c r="B22" s="2" t="s">
        <v>29</v>
      </c>
      <c r="C22" s="6"/>
      <c r="D22" s="2">
        <f>VLOOKUP($B22,перевод!$E$4:$Y$15,3,0)</f>
        <v>1</v>
      </c>
      <c r="E22" s="2">
        <f>VLOOKUP($B22,перевод!$E$4:$Y$15,4,0)</f>
        <v>0</v>
      </c>
      <c r="F22" s="2">
        <f>VLOOKUP($B22,перевод!$E$4:$Y$15,5,0)</f>
        <v>0</v>
      </c>
      <c r="G22" s="2">
        <f>VLOOKUP($B22,перевод!$E$4:$Y$15,6,0)</f>
        <v>1</v>
      </c>
      <c r="H22" s="2" t="str">
        <f>VLOOKUP($B22,перевод!$E$4:$Y$15,7,0)</f>
        <v>.</v>
      </c>
      <c r="I22" s="2">
        <f>VLOOKUP($B22,перевод!$E$4:$Y$15,8,0)</f>
        <v>0</v>
      </c>
      <c r="J22" s="2">
        <f>VLOOKUP($B22,перевод!$E$4:$Y$15,9,0)</f>
        <v>0</v>
      </c>
      <c r="K22" s="2">
        <f>VLOOKUP($B22,перевод!$E$4:$Y$15,10,0)</f>
        <v>0</v>
      </c>
      <c r="L22" s="2">
        <f>VLOOKUP($B22,перевод!$E$4:$Y$15,11,0)</f>
        <v>0</v>
      </c>
      <c r="M22" s="2" t="str">
        <f>VLOOKUP($B22,перевод!$E$4:$Y$15,12,0)</f>
        <v>.</v>
      </c>
      <c r="N22" s="2">
        <f>VLOOKUP($B22,перевод!$E$4:$Y$15,13,0)</f>
        <v>0</v>
      </c>
      <c r="O22" s="2">
        <f>VLOOKUP($B22,перевод!$E$4:$Y$15,14,0)</f>
        <v>1</v>
      </c>
      <c r="P22" s="2">
        <f>VLOOKUP($B22,перевод!$E$4:$Y$15,15,0)</f>
        <v>1</v>
      </c>
      <c r="Q22" s="2">
        <f>VLOOKUP($B22,перевод!$E$4:$Y$15,16,0)</f>
        <v>1</v>
      </c>
      <c r="R22" s="2" t="str">
        <f>VLOOKUP($B22,перевод!$E$4:$Y$15,17,0)</f>
        <v>.</v>
      </c>
      <c r="S22" s="2">
        <f>VLOOKUP($B22,перевод!$E$4:$Y$15,18,0)</f>
        <v>0</v>
      </c>
      <c r="T22" s="2">
        <f>VLOOKUP($B22,перевод!$E$4:$Y$15,19,0)</f>
        <v>1</v>
      </c>
      <c r="U22" s="2">
        <f>VLOOKUP($B22,перевод!$E$4:$Y$15,20,0)</f>
        <v>0</v>
      </c>
      <c r="V22" s="2">
        <f>VLOOKUP($B22,перевод!$E$4:$Y$15,21,0)</f>
        <v>0</v>
      </c>
      <c r="AF22" t="s">
        <v>48</v>
      </c>
      <c r="AG22">
        <f>ABS(MOD(COUNTIF(N24:V24,1),2)-1)</f>
        <v>0</v>
      </c>
      <c r="AH22" t="s">
        <v>51</v>
      </c>
      <c r="AI22">
        <f>D24</f>
        <v>0</v>
      </c>
      <c r="AK22" s="10" t="str">
        <f>IF(AI23=0,"Результат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В результате операции было получено переполнение и как следствие несовпадение с суммой десятичных эквивалентов</v>
      </c>
      <c r="AL22" s="10"/>
      <c r="AM22" s="10"/>
      <c r="AN22" s="10"/>
      <c r="AO22" s="10"/>
    </row>
    <row r="23" spans="1:41" x14ac:dyDescent="0.25">
      <c r="D23" s="7">
        <f t="shared" ref="D23" si="47">IF(SUM(D21:D22,E23)&gt;1,1,0)</f>
        <v>1</v>
      </c>
      <c r="E23" s="7">
        <f t="shared" ref="E23" si="48">IF(SUM(E21:E22,F23)&gt;1,1,0)</f>
        <v>0</v>
      </c>
      <c r="F23" s="7">
        <f t="shared" ref="F23" si="49">IF(SUM(F21:F22,G23)&gt;1,1,0)</f>
        <v>0</v>
      </c>
      <c r="G23" s="7">
        <f>IF(SUM(G21:G22,I23)&gt;1,1,0)</f>
        <v>0</v>
      </c>
      <c r="H23" s="7" t="s">
        <v>18</v>
      </c>
      <c r="I23" s="7">
        <f t="shared" ref="I23" si="50">IF(SUM(I21:I22,J23)&gt;1,1,0)</f>
        <v>0</v>
      </c>
      <c r="J23" s="7">
        <f t="shared" ref="J23" si="51">IF(SUM(J21:J22,K23)&gt;1,1,0)</f>
        <v>0</v>
      </c>
      <c r="K23" s="7">
        <f t="shared" ref="K23" si="52">IF(SUM(K21:K22,L23)&gt;1,1,0)</f>
        <v>0</v>
      </c>
      <c r="L23" s="7">
        <f>IF(SUM(L21:L22,N23)&gt;1,1,0)</f>
        <v>0</v>
      </c>
      <c r="M23" s="7" t="s">
        <v>18</v>
      </c>
      <c r="N23" s="7">
        <f t="shared" ref="N23" si="53">IF(SUM(N21:N22,O23)&gt;1,1,0)</f>
        <v>0</v>
      </c>
      <c r="O23" s="7">
        <f t="shared" ref="O23" si="54">IF(SUM(O21:O22,P23)&gt;1,1,0)</f>
        <v>0</v>
      </c>
      <c r="P23" s="7">
        <f t="shared" ref="P23" si="55">IF(SUM(P21:P22,Q23)&gt;1,1,0)</f>
        <v>0</v>
      </c>
      <c r="Q23" s="7">
        <f>IF(SUM(Q21:Q22,S23)&gt;1,1,0)</f>
        <v>0</v>
      </c>
      <c r="R23" s="7" t="s">
        <v>18</v>
      </c>
      <c r="S23" s="7">
        <f t="shared" ref="S23" si="56">IF(SUM(S21:S22,T23)&gt;1,1,0)</f>
        <v>0</v>
      </c>
      <c r="T23" s="7">
        <f t="shared" ref="T23" si="57">IF(SUM(T21:T22,U23)&gt;1,1,0)</f>
        <v>1</v>
      </c>
      <c r="U23" s="7">
        <f>IF(SUM(U21:U22,V23)&gt;1,1,0)</f>
        <v>0</v>
      </c>
      <c r="V23" s="7">
        <f>IF(V24=0,1,0)</f>
        <v>0</v>
      </c>
      <c r="X23" s="3"/>
      <c r="AF23" t="s">
        <v>49</v>
      </c>
      <c r="AG23">
        <f>S23</f>
        <v>0</v>
      </c>
      <c r="AH23" s="9" t="s">
        <v>52</v>
      </c>
      <c r="AI23" s="8">
        <f>INT(_xlfn.XOR(D23,E23))</f>
        <v>1</v>
      </c>
    </row>
    <row r="24" spans="1:41" ht="18" x14ac:dyDescent="0.35">
      <c r="D24" s="4">
        <f t="shared" ref="D24:F24" si="58">MOD(SUM(D21:D22,E23),2)</f>
        <v>0</v>
      </c>
      <c r="E24" s="4">
        <f t="shared" si="58"/>
        <v>1</v>
      </c>
      <c r="F24" s="4">
        <f t="shared" si="58"/>
        <v>0</v>
      </c>
      <c r="G24" s="4">
        <f>MOD(SUM(G21:G22,I23),2)</f>
        <v>1</v>
      </c>
      <c r="H24" s="4" t="s">
        <v>18</v>
      </c>
      <c r="I24" s="4">
        <f t="shared" ref="I24:K24" si="59">MOD(SUM(I21:I22,J23),2)</f>
        <v>0</v>
      </c>
      <c r="J24" s="4">
        <f t="shared" si="59"/>
        <v>0</v>
      </c>
      <c r="K24" s="4">
        <f t="shared" si="59"/>
        <v>0</v>
      </c>
      <c r="L24" s="4">
        <f>MOD(SUM(L21:L22,N23),2)</f>
        <v>0</v>
      </c>
      <c r="M24" s="4" t="s">
        <v>18</v>
      </c>
      <c r="N24" s="4">
        <f t="shared" ref="N24:P24" si="60">MOD(SUM(N21:N22,O23),2)</f>
        <v>1</v>
      </c>
      <c r="O24" s="4">
        <f t="shared" si="60"/>
        <v>1</v>
      </c>
      <c r="P24" s="4">
        <f t="shared" si="60"/>
        <v>1</v>
      </c>
      <c r="Q24" s="4">
        <f>MOD(SUM(Q21:Q22,S23),2)</f>
        <v>1</v>
      </c>
      <c r="R24" s="4" t="s">
        <v>18</v>
      </c>
      <c r="S24" s="4">
        <f t="shared" ref="S24:T24" si="61">MOD(SUM(S21:S22,T23),2)</f>
        <v>1</v>
      </c>
      <c r="T24" s="4">
        <f t="shared" si="61"/>
        <v>0</v>
      </c>
      <c r="U24" s="4">
        <f>MOD(SUM(U21:U22,V23),2)</f>
        <v>1</v>
      </c>
      <c r="V24" s="4">
        <f>IF(MOD(V21+V22,2)=1,1,0)</f>
        <v>1</v>
      </c>
      <c r="W24" t="s">
        <v>20</v>
      </c>
      <c r="X24" s="8" cm="1">
        <f t="array" ref="X24">IF(D24=0,BinToDec16(D24&amp;E24&amp;F24&amp;G24&amp;I24&amp;J24&amp;K24&amp;L24&amp;N24&amp;O24&amp;P24&amp;Q24&amp;S24&amp;T24&amp;U24&amp;V24),-1*(65536-BinToDec16(D24&amp;E24&amp;F24&amp;G24&amp;I24&amp;J24&amp;K24&amp;L24&amp;N24&amp;O24&amp;P24&amp;Q24&amp;S24&amp;T24&amp;U24&amp;V24)))</f>
        <v>20731</v>
      </c>
      <c r="Y24" s="9" t="s">
        <v>33</v>
      </c>
      <c r="Z24" s="9">
        <f>VLOOKUP(AB24,перевод!$A$4:$C$15,3,0)+VLOOKUP(AD24,перевод!$A$4:$C$15,3,0)</f>
        <v>-44805</v>
      </c>
      <c r="AA24" t="s">
        <v>36</v>
      </c>
      <c r="AB24" t="s">
        <v>42</v>
      </c>
      <c r="AC24" t="s">
        <v>19</v>
      </c>
      <c r="AD24" t="s">
        <v>43</v>
      </c>
    </row>
    <row r="26" spans="1:41" ht="18" x14ac:dyDescent="0.35">
      <c r="B26" t="s">
        <v>21</v>
      </c>
      <c r="C26" s="5"/>
      <c r="D26">
        <f>VLOOKUP($B26,перевод!$E$4:$Y$15,3,0)</f>
        <v>0</v>
      </c>
      <c r="E26">
        <f>VLOOKUP($B26,перевод!$E$4:$Y$15,4,0)</f>
        <v>0</v>
      </c>
      <c r="F26">
        <f>VLOOKUP($B26,перевод!$E$4:$Y$15,5,0)</f>
        <v>1</v>
      </c>
      <c r="G26">
        <f>VLOOKUP($B26,перевод!$E$4:$Y$15,6,0)</f>
        <v>1</v>
      </c>
      <c r="H26" t="str">
        <f>VLOOKUP($B26,перевод!$E$4:$Y$15,7,0)</f>
        <v>.</v>
      </c>
      <c r="I26">
        <f>VLOOKUP($B26,перевод!$E$4:$Y$15,8,0)</f>
        <v>0</v>
      </c>
      <c r="J26">
        <f>VLOOKUP($B26,перевод!$E$4:$Y$15,9,0)</f>
        <v>0</v>
      </c>
      <c r="K26">
        <f>VLOOKUP($B26,перевод!$E$4:$Y$15,10,0)</f>
        <v>0</v>
      </c>
      <c r="L26">
        <f>VLOOKUP($B26,перевод!$E$4:$Y$15,11,0)</f>
        <v>0</v>
      </c>
      <c r="M26" t="str">
        <f>VLOOKUP($B26,перевод!$E$4:$Y$15,12,0)</f>
        <v>.</v>
      </c>
      <c r="N26">
        <f>VLOOKUP($B26,перевод!$E$4:$Y$15,13,0)</f>
        <v>0</v>
      </c>
      <c r="O26">
        <f>VLOOKUP($B26,перевод!$E$4:$Y$15,14,0)</f>
        <v>0</v>
      </c>
      <c r="P26">
        <f>VLOOKUP($B26,перевод!$E$4:$Y$15,15,0)</f>
        <v>0</v>
      </c>
      <c r="Q26">
        <f>VLOOKUP($B26,перевод!$E$4:$Y$15,16,0)</f>
        <v>1</v>
      </c>
      <c r="R26" t="str">
        <f>VLOOKUP($B26,перевод!$E$4:$Y$15,17,0)</f>
        <v>.</v>
      </c>
      <c r="S26">
        <f>VLOOKUP($B26,перевод!$E$4:$Y$15,18,0)</f>
        <v>0</v>
      </c>
      <c r="T26">
        <f>VLOOKUP($B26,перевод!$E$4:$Y$15,19,0)</f>
        <v>0</v>
      </c>
      <c r="U26">
        <f>VLOOKUP($B26,перевод!$E$4:$Y$15,20,0)</f>
        <v>1</v>
      </c>
      <c r="V26">
        <f>VLOOKUP($B26,перевод!$E$4:$Y$15,21,0)</f>
        <v>1</v>
      </c>
      <c r="AF26" t="s">
        <v>47</v>
      </c>
      <c r="AG26">
        <v>0</v>
      </c>
      <c r="AH26" t="s">
        <v>50</v>
      </c>
      <c r="AI26">
        <f>IF(COUNTIF(D29:V29,0)=16,1,0)</f>
        <v>0</v>
      </c>
      <c r="AK26" t="s">
        <v>53</v>
      </c>
      <c r="AL26" t="str">
        <f>IF(D26=0,"положительного и","отрицательного и")</f>
        <v>положительного и</v>
      </c>
      <c r="AM26" t="str">
        <f>IF(D27=0,"положительного","отрицательного")</f>
        <v>отрицательного</v>
      </c>
      <c r="AN26" t="s">
        <v>54</v>
      </c>
      <c r="AO26" t="str">
        <f>IF(AI27=0,"положительное число","отрицательное число")</f>
        <v>отрицательное число</v>
      </c>
    </row>
    <row r="27" spans="1:41" ht="18.75" thickBot="1" x14ac:dyDescent="0.4">
      <c r="A27" s="2" t="s">
        <v>19</v>
      </c>
      <c r="B27" s="2" t="s">
        <v>28</v>
      </c>
      <c r="C27" s="6"/>
      <c r="D27" s="2">
        <f>VLOOKUP($B27,перевод!$E$4:$Y$15,3,0)</f>
        <v>1</v>
      </c>
      <c r="E27" s="2">
        <f>VLOOKUP($B27,перевод!$E$4:$Y$15,4,0)</f>
        <v>1</v>
      </c>
      <c r="F27" s="2">
        <f>VLOOKUP($B27,перевод!$E$4:$Y$15,5,0)</f>
        <v>0</v>
      </c>
      <c r="G27" s="2">
        <f>VLOOKUP($B27,перевод!$E$4:$Y$15,6,0)</f>
        <v>0</v>
      </c>
      <c r="H27" s="2" t="str">
        <f>VLOOKUP($B27,перевод!$E$4:$Y$15,7,0)</f>
        <v>.</v>
      </c>
      <c r="I27" s="2">
        <f>VLOOKUP($B27,перевод!$E$4:$Y$15,8,0)</f>
        <v>0</v>
      </c>
      <c r="J27" s="2">
        <f>VLOOKUP($B27,перевод!$E$4:$Y$15,9,0)</f>
        <v>0</v>
      </c>
      <c r="K27" s="2">
        <f>VLOOKUP($B27,перевод!$E$4:$Y$15,10,0)</f>
        <v>0</v>
      </c>
      <c r="L27" s="2">
        <f>VLOOKUP($B27,перевод!$E$4:$Y$15,11,0)</f>
        <v>0</v>
      </c>
      <c r="M27" s="2" t="str">
        <f>VLOOKUP($B27,перевод!$E$4:$Y$15,12,0)</f>
        <v>.</v>
      </c>
      <c r="N27" s="2">
        <f>VLOOKUP($B27,перевод!$E$4:$Y$15,13,0)</f>
        <v>1</v>
      </c>
      <c r="O27" s="2">
        <f>VLOOKUP($B27,перевод!$E$4:$Y$15,14,0)</f>
        <v>0</v>
      </c>
      <c r="P27" s="2">
        <f>VLOOKUP($B27,перевод!$E$4:$Y$15,15,0)</f>
        <v>0</v>
      </c>
      <c r="Q27" s="2">
        <f>VLOOKUP($B27,перевод!$E$4:$Y$15,16,0)</f>
        <v>0</v>
      </c>
      <c r="R27" s="2" t="str">
        <f>VLOOKUP($B27,перевод!$E$4:$Y$15,17,0)</f>
        <v>.</v>
      </c>
      <c r="S27" s="2">
        <f>VLOOKUP($B27,перевод!$E$4:$Y$15,18,0)</f>
        <v>0</v>
      </c>
      <c r="T27" s="2">
        <f>VLOOKUP($B27,перевод!$E$4:$Y$15,19,0)</f>
        <v>1</v>
      </c>
      <c r="U27" s="2">
        <f>VLOOKUP($B27,перевод!$E$4:$Y$15,20,0)</f>
        <v>1</v>
      </c>
      <c r="V27" s="2">
        <f>VLOOKUP($B27,перевод!$E$4:$Y$15,21,0)</f>
        <v>1</v>
      </c>
      <c r="AF27" t="s">
        <v>48</v>
      </c>
      <c r="AG27">
        <f>ABS(MOD(COUNTIF(N29:V29,1),2)-1)</f>
        <v>1</v>
      </c>
      <c r="AH27" t="s">
        <v>51</v>
      </c>
      <c r="AI27">
        <f>D29</f>
        <v>1</v>
      </c>
      <c r="AK27" s="10" t="str">
        <f>IF(AI28=0,"Результат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Результат выполнения операции верный и корректный, совпадает с суммой десятичных эквивалентов</v>
      </c>
      <c r="AL27" s="10"/>
      <c r="AM27" s="10"/>
      <c r="AN27" s="10"/>
      <c r="AO27" s="10"/>
    </row>
    <row r="28" spans="1:41" x14ac:dyDescent="0.25">
      <c r="D28" s="7">
        <f t="shared" ref="D28" si="62">IF(SUM(D26:D27,E28)&gt;1,1,0)</f>
        <v>0</v>
      </c>
      <c r="E28" s="7">
        <f t="shared" ref="E28" si="63">IF(SUM(E26:E27,F28)&gt;1,1,0)</f>
        <v>0</v>
      </c>
      <c r="F28" s="7">
        <f t="shared" ref="F28" si="64">IF(SUM(F26:F27,G28)&gt;1,1,0)</f>
        <v>0</v>
      </c>
      <c r="G28" s="7">
        <f>IF(SUM(G26:G27,I28)&gt;1,1,0)</f>
        <v>0</v>
      </c>
      <c r="H28" s="7" t="s">
        <v>18</v>
      </c>
      <c r="I28" s="7">
        <f t="shared" ref="I28" si="65">IF(SUM(I26:I27,J28)&gt;1,1,0)</f>
        <v>0</v>
      </c>
      <c r="J28" s="7">
        <f t="shared" ref="J28" si="66">IF(SUM(J26:J27,K28)&gt;1,1,0)</f>
        <v>0</v>
      </c>
      <c r="K28" s="7">
        <f t="shared" ref="K28" si="67">IF(SUM(K26:K27,L28)&gt;1,1,0)</f>
        <v>0</v>
      </c>
      <c r="L28" s="7">
        <f>IF(SUM(L26:L27,N28)&gt;1,1,0)</f>
        <v>0</v>
      </c>
      <c r="M28" s="7" t="s">
        <v>18</v>
      </c>
      <c r="N28" s="7">
        <f t="shared" ref="N28" si="68">IF(SUM(N26:N27,O28)&gt;1,1,0)</f>
        <v>0</v>
      </c>
      <c r="O28" s="7">
        <f t="shared" ref="O28" si="69">IF(SUM(O26:O27,P28)&gt;1,1,0)</f>
        <v>0</v>
      </c>
      <c r="P28" s="7">
        <f t="shared" ref="P28" si="70">IF(SUM(P26:P27,Q28)&gt;1,1,0)</f>
        <v>0</v>
      </c>
      <c r="Q28" s="7">
        <f>IF(SUM(Q26:Q27,S28)&gt;1,1,0)</f>
        <v>0</v>
      </c>
      <c r="R28" s="7" t="s">
        <v>18</v>
      </c>
      <c r="S28" s="7">
        <f t="shared" ref="S28" si="71">IF(SUM(S26:S27,T28)&gt;1,1,0)</f>
        <v>0</v>
      </c>
      <c r="T28" s="7">
        <f t="shared" ref="T28" si="72">IF(SUM(T26:T27,U28)&gt;1,1,0)</f>
        <v>1</v>
      </c>
      <c r="U28" s="7">
        <f>IF(SUM(U26:U27,V28)&gt;1,1,0)</f>
        <v>1</v>
      </c>
      <c r="V28" s="7">
        <f>IF(V29=0,1,0)</f>
        <v>1</v>
      </c>
      <c r="X28" s="3"/>
      <c r="AF28" t="s">
        <v>49</v>
      </c>
      <c r="AG28">
        <f>S28</f>
        <v>0</v>
      </c>
      <c r="AH28" t="s">
        <v>52</v>
      </c>
      <c r="AI28" s="3">
        <f>INT(_xlfn.XOR(D28,E28))</f>
        <v>0</v>
      </c>
    </row>
    <row r="29" spans="1:41" ht="18" x14ac:dyDescent="0.35">
      <c r="D29" s="4">
        <f t="shared" ref="D29:F29" si="73">MOD(SUM(D26:D27,E28),2)</f>
        <v>1</v>
      </c>
      <c r="E29" s="4">
        <f t="shared" si="73"/>
        <v>1</v>
      </c>
      <c r="F29" s="4">
        <f t="shared" si="73"/>
        <v>1</v>
      </c>
      <c r="G29" s="4">
        <f>MOD(SUM(G26:G27,I28),2)</f>
        <v>1</v>
      </c>
      <c r="H29" s="4" t="s">
        <v>18</v>
      </c>
      <c r="I29" s="4">
        <f t="shared" ref="I29:K29" si="74">MOD(SUM(I26:I27,J28),2)</f>
        <v>0</v>
      </c>
      <c r="J29" s="4">
        <f t="shared" si="74"/>
        <v>0</v>
      </c>
      <c r="K29" s="4">
        <f t="shared" si="74"/>
        <v>0</v>
      </c>
      <c r="L29" s="4">
        <f>MOD(SUM(L26:L27,N28),2)</f>
        <v>0</v>
      </c>
      <c r="M29" s="4" t="s">
        <v>18</v>
      </c>
      <c r="N29" s="4">
        <f t="shared" ref="N29:P29" si="75">MOD(SUM(N26:N27,O28),2)</f>
        <v>1</v>
      </c>
      <c r="O29" s="4">
        <f t="shared" si="75"/>
        <v>0</v>
      </c>
      <c r="P29" s="4">
        <f t="shared" si="75"/>
        <v>0</v>
      </c>
      <c r="Q29" s="4">
        <f>MOD(SUM(Q26:Q27,S28),2)</f>
        <v>1</v>
      </c>
      <c r="R29" s="4" t="s">
        <v>18</v>
      </c>
      <c r="S29" s="4">
        <f t="shared" ref="S29:T29" si="76">MOD(SUM(S26:S27,T28),2)</f>
        <v>1</v>
      </c>
      <c r="T29" s="4">
        <f t="shared" si="76"/>
        <v>0</v>
      </c>
      <c r="U29" s="4">
        <f>MOD(SUM(U26:U27,V28),2)</f>
        <v>1</v>
      </c>
      <c r="V29" s="4">
        <f>IF(MOD(V26+V27,2)=1,1,0)</f>
        <v>0</v>
      </c>
      <c r="W29" t="s">
        <v>20</v>
      </c>
      <c r="X29" s="3" cm="1">
        <f t="array" ref="X29">IF(D29=0,BinToDec16(D29&amp;E29&amp;F29&amp;G29&amp;I29&amp;J29&amp;K29&amp;L29&amp;N29&amp;O29&amp;P29&amp;Q29&amp;S29&amp;T29&amp;U29&amp;V29),-1*(65536-BinToDec16(D29&amp;E29&amp;F29&amp;G29&amp;I29&amp;J29&amp;K29&amp;L29&amp;N29&amp;O29&amp;P29&amp;Q29&amp;S29&amp;T29&amp;U29&amp;V29)))</f>
        <v>-3942</v>
      </c>
      <c r="Y29" t="s">
        <v>33</v>
      </c>
      <c r="Z29">
        <f>VLOOKUP(AB29,перевод!$A$4:$C$15,3,0)+VLOOKUP(AD29,перевод!$A$4:$C$15,3,0)</f>
        <v>-3942</v>
      </c>
      <c r="AA29" t="s">
        <v>36</v>
      </c>
      <c r="AB29" t="s">
        <v>34</v>
      </c>
      <c r="AC29" t="s">
        <v>19</v>
      </c>
      <c r="AD29" t="s">
        <v>42</v>
      </c>
    </row>
    <row r="31" spans="1:41" ht="18" x14ac:dyDescent="0.35">
      <c r="B31" t="s">
        <v>31</v>
      </c>
      <c r="C31" s="5"/>
      <c r="D31">
        <f>VLOOKUP($B31,перевод!$E$4:$Y$15,3,0)</f>
        <v>1</v>
      </c>
      <c r="E31">
        <f>VLOOKUP($B31,перевод!$E$4:$Y$15,4,0)</f>
        <v>1</v>
      </c>
      <c r="F31">
        <f>VLOOKUP($B31,перевод!$E$4:$Y$15,5,0)</f>
        <v>1</v>
      </c>
      <c r="G31">
        <f>VLOOKUP($B31,перевод!$E$4:$Y$15,6,0)</f>
        <v>1</v>
      </c>
      <c r="H31" t="str">
        <f>VLOOKUP($B31,перевод!$E$4:$Y$15,7,0)</f>
        <v>.</v>
      </c>
      <c r="I31">
        <f>VLOOKUP($B31,перевод!$E$4:$Y$15,8,0)</f>
        <v>0</v>
      </c>
      <c r="J31">
        <f>VLOOKUP($B31,перевод!$E$4:$Y$15,9,0)</f>
        <v>0</v>
      </c>
      <c r="K31">
        <f>VLOOKUP($B31,перевод!$E$4:$Y$15,10,0)</f>
        <v>0</v>
      </c>
      <c r="L31">
        <f>VLOOKUP($B31,перевод!$E$4:$Y$15,11,0)</f>
        <v>0</v>
      </c>
      <c r="M31" t="str">
        <f>VLOOKUP($B31,перевод!$E$4:$Y$15,12,0)</f>
        <v>.</v>
      </c>
      <c r="N31">
        <f>VLOOKUP($B31,перевод!$E$4:$Y$15,13,0)</f>
        <v>1</v>
      </c>
      <c r="O31">
        <f>VLOOKUP($B31,перевод!$E$4:$Y$15,14,0)</f>
        <v>0</v>
      </c>
      <c r="P31">
        <f>VLOOKUP($B31,перевод!$E$4:$Y$15,15,0)</f>
        <v>0</v>
      </c>
      <c r="Q31">
        <f>VLOOKUP($B31,перевод!$E$4:$Y$15,16,0)</f>
        <v>1</v>
      </c>
      <c r="R31" t="str">
        <f>VLOOKUP($B31,перевод!$E$4:$Y$15,17,0)</f>
        <v>.</v>
      </c>
      <c r="S31">
        <f>VLOOKUP($B31,перевод!$E$4:$Y$15,18,0)</f>
        <v>1</v>
      </c>
      <c r="T31">
        <f>VLOOKUP($B31,перевод!$E$4:$Y$15,19,0)</f>
        <v>0</v>
      </c>
      <c r="U31">
        <f>VLOOKUP($B31,перевод!$E$4:$Y$15,20,0)</f>
        <v>1</v>
      </c>
      <c r="V31">
        <f>VLOOKUP($B31,перевод!$E$4:$Y$15,21,0)</f>
        <v>0</v>
      </c>
      <c r="AF31" t="s">
        <v>47</v>
      </c>
      <c r="AG31">
        <v>0</v>
      </c>
      <c r="AH31" t="s">
        <v>50</v>
      </c>
      <c r="AI31">
        <f>IF(COUNTIF(D34:V34,0)=16,1,0)</f>
        <v>0</v>
      </c>
      <c r="AK31" t="s">
        <v>53</v>
      </c>
      <c r="AL31" t="str">
        <f>IF(D31=0,"положительного и","отрицательного и")</f>
        <v>отрицательного и</v>
      </c>
      <c r="AM31" t="str">
        <f>IF(D32=0,"положительного","отрицательного")</f>
        <v>положительного</v>
      </c>
      <c r="AN31" t="s">
        <v>54</v>
      </c>
      <c r="AO31" t="str">
        <f>IF(AI32=0,"положительное число","отрицательное число")</f>
        <v>положительное число</v>
      </c>
    </row>
    <row r="32" spans="1:41" ht="18.75" thickBot="1" x14ac:dyDescent="0.4">
      <c r="A32" s="2" t="s">
        <v>19</v>
      </c>
      <c r="B32" s="2" t="s">
        <v>23</v>
      </c>
      <c r="C32" s="6"/>
      <c r="D32" s="2">
        <f>VLOOKUP($B32,перевод!$E$4:$Y$15,3,0)</f>
        <v>0</v>
      </c>
      <c r="E32" s="2">
        <f>VLOOKUP($B32,перевод!$E$4:$Y$15,4,0)</f>
        <v>1</v>
      </c>
      <c r="F32" s="2">
        <f>VLOOKUP($B32,перевод!$E$4:$Y$15,5,0)</f>
        <v>1</v>
      </c>
      <c r="G32" s="2">
        <f>VLOOKUP($B32,перевод!$E$4:$Y$15,6,0)</f>
        <v>0</v>
      </c>
      <c r="H32" s="2" t="str">
        <f>VLOOKUP($B32,перевод!$E$4:$Y$15,7,0)</f>
        <v>.</v>
      </c>
      <c r="I32" s="2">
        <f>VLOOKUP($B32,перевод!$E$4:$Y$15,8,0)</f>
        <v>1</v>
      </c>
      <c r="J32" s="2">
        <f>VLOOKUP($B32,перевод!$E$4:$Y$15,9,0)</f>
        <v>1</v>
      </c>
      <c r="K32" s="2">
        <f>VLOOKUP($B32,перевод!$E$4:$Y$15,10,0)</f>
        <v>1</v>
      </c>
      <c r="L32" s="2">
        <f>VLOOKUP($B32,перевод!$E$4:$Y$15,11,0)</f>
        <v>1</v>
      </c>
      <c r="M32" s="2" t="str">
        <f>VLOOKUP($B32,перевод!$E$4:$Y$15,12,0)</f>
        <v>.</v>
      </c>
      <c r="N32" s="2">
        <f>VLOOKUP($B32,перевод!$E$4:$Y$15,13,0)</f>
        <v>1</v>
      </c>
      <c r="O32" s="2">
        <f>VLOOKUP($B32,перевод!$E$4:$Y$15,14,0)</f>
        <v>0</v>
      </c>
      <c r="P32" s="2">
        <f>VLOOKUP($B32,перевод!$E$4:$Y$15,15,0)</f>
        <v>0</v>
      </c>
      <c r="Q32" s="2">
        <f>VLOOKUP($B32,перевод!$E$4:$Y$15,16,0)</f>
        <v>0</v>
      </c>
      <c r="R32" s="2" t="str">
        <f>VLOOKUP($B32,перевод!$E$4:$Y$15,17,0)</f>
        <v>.</v>
      </c>
      <c r="S32" s="2">
        <f>VLOOKUP($B32,перевод!$E$4:$Y$15,18,0)</f>
        <v>1</v>
      </c>
      <c r="T32" s="2">
        <f>VLOOKUP($B32,перевод!$E$4:$Y$15,19,0)</f>
        <v>1</v>
      </c>
      <c r="U32" s="2">
        <f>VLOOKUP($B32,перевод!$E$4:$Y$15,20,0)</f>
        <v>0</v>
      </c>
      <c r="V32" s="2">
        <f>VLOOKUP($B32,перевод!$E$4:$Y$15,21,0)</f>
        <v>0</v>
      </c>
      <c r="AF32" t="s">
        <v>48</v>
      </c>
      <c r="AG32">
        <f>ABS(MOD(COUNTIF(N34:V34,1),2)-1)</f>
        <v>1</v>
      </c>
      <c r="AH32" t="s">
        <v>51</v>
      </c>
      <c r="AI32">
        <f>D34</f>
        <v>0</v>
      </c>
      <c r="AK32" s="10" t="str">
        <f>IF(AI33=0,"Результат выполнения операции верный и корректный, совпадает с суммой десятичных эквивалентов","В результате операции было получено переполнение и как следствие несовпадение с суммой десятичных эквивалентов")</f>
        <v>Результат выполнения операции верный и корректный, совпадает с суммой десятичных эквивалентов</v>
      </c>
      <c r="AL32" s="10"/>
      <c r="AM32" s="10"/>
      <c r="AN32" s="10"/>
      <c r="AO32" s="10"/>
    </row>
    <row r="33" spans="4:35" x14ac:dyDescent="0.25">
      <c r="D33" s="7">
        <f t="shared" ref="D33" si="77">IF(SUM(D31:D32,E33)&gt;1,1,0)</f>
        <v>1</v>
      </c>
      <c r="E33" s="7">
        <f t="shared" ref="E33" si="78">IF(SUM(E31:E32,F33)&gt;1,1,0)</f>
        <v>1</v>
      </c>
      <c r="F33" s="7">
        <f t="shared" ref="F33" si="79">IF(SUM(F31:F32,G33)&gt;1,1,0)</f>
        <v>1</v>
      </c>
      <c r="G33" s="7">
        <f>IF(SUM(G31:G32,I33)&gt;1,1,0)</f>
        <v>1</v>
      </c>
      <c r="H33" s="7" t="s">
        <v>18</v>
      </c>
      <c r="I33" s="7">
        <f t="shared" ref="I33" si="80">IF(SUM(I31:I32,J33)&gt;1,1,0)</f>
        <v>1</v>
      </c>
      <c r="J33" s="7">
        <f t="shared" ref="J33" si="81">IF(SUM(J31:J32,K33)&gt;1,1,0)</f>
        <v>1</v>
      </c>
      <c r="K33" s="7">
        <f t="shared" ref="K33" si="82">IF(SUM(K31:K32,L33)&gt;1,1,0)</f>
        <v>1</v>
      </c>
      <c r="L33" s="7">
        <f>IF(SUM(L31:L32,N33)&gt;1,1,0)</f>
        <v>1</v>
      </c>
      <c r="M33" s="7" t="s">
        <v>18</v>
      </c>
      <c r="N33" s="7">
        <f t="shared" ref="N33" si="83">IF(SUM(N31:N32,O33)&gt;1,1,0)</f>
        <v>1</v>
      </c>
      <c r="O33" s="7">
        <f t="shared" ref="O33" si="84">IF(SUM(O31:O32,P33)&gt;1,1,0)</f>
        <v>0</v>
      </c>
      <c r="P33" s="7">
        <f t="shared" ref="P33" si="85">IF(SUM(P31:P32,Q33)&gt;1,1,0)</f>
        <v>0</v>
      </c>
      <c r="Q33" s="7">
        <f>IF(SUM(Q31:Q32,S33)&gt;1,1,0)</f>
        <v>1</v>
      </c>
      <c r="R33" s="7" t="s">
        <v>18</v>
      </c>
      <c r="S33" s="7">
        <f t="shared" ref="S33" si="86">IF(SUM(S31:S32,T33)&gt;1,1,0)</f>
        <v>1</v>
      </c>
      <c r="T33" s="7">
        <f t="shared" ref="T33" si="87">IF(SUM(T31:T32,U33)&gt;1,1,0)</f>
        <v>1</v>
      </c>
      <c r="U33" s="7">
        <f>IF(SUM(U31:U32,V33)&gt;1,1,0)</f>
        <v>1</v>
      </c>
      <c r="V33" s="7">
        <f>IF(V34=0,1,0)</f>
        <v>1</v>
      </c>
      <c r="X33" s="3"/>
      <c r="AF33" t="s">
        <v>49</v>
      </c>
      <c r="AG33">
        <f>S33</f>
        <v>1</v>
      </c>
      <c r="AH33" t="s">
        <v>52</v>
      </c>
      <c r="AI33" s="3">
        <f>INT(_xlfn.XOR(D33,E33))</f>
        <v>0</v>
      </c>
    </row>
    <row r="34" spans="4:35" ht="18" x14ac:dyDescent="0.35">
      <c r="D34" s="4">
        <f t="shared" ref="D34:F34" si="88">MOD(SUM(D31:D32,E33),2)</f>
        <v>0</v>
      </c>
      <c r="E34" s="4">
        <f t="shared" si="88"/>
        <v>1</v>
      </c>
      <c r="F34" s="4">
        <f t="shared" si="88"/>
        <v>1</v>
      </c>
      <c r="G34" s="4">
        <f>MOD(SUM(G31:G32,I33),2)</f>
        <v>0</v>
      </c>
      <c r="H34" s="4" t="s">
        <v>18</v>
      </c>
      <c r="I34" s="4">
        <f t="shared" ref="I34:K34" si="89">MOD(SUM(I31:I32,J33),2)</f>
        <v>0</v>
      </c>
      <c r="J34" s="4">
        <f t="shared" si="89"/>
        <v>0</v>
      </c>
      <c r="K34" s="4">
        <f t="shared" si="89"/>
        <v>0</v>
      </c>
      <c r="L34" s="4">
        <f>MOD(SUM(L31:L32,N33),2)</f>
        <v>0</v>
      </c>
      <c r="M34" s="4" t="s">
        <v>18</v>
      </c>
      <c r="N34" s="4">
        <f t="shared" ref="N34:P34" si="90">MOD(SUM(N31:N32,O33),2)</f>
        <v>0</v>
      </c>
      <c r="O34" s="4">
        <f t="shared" si="90"/>
        <v>0</v>
      </c>
      <c r="P34" s="4">
        <f t="shared" si="90"/>
        <v>1</v>
      </c>
      <c r="Q34" s="4">
        <f>MOD(SUM(Q31:Q32,S33),2)</f>
        <v>0</v>
      </c>
      <c r="R34" s="4" t="s">
        <v>18</v>
      </c>
      <c r="S34" s="4">
        <f t="shared" ref="S34:T34" si="91">MOD(SUM(S31:S32,T33),2)</f>
        <v>1</v>
      </c>
      <c r="T34" s="4">
        <f t="shared" si="91"/>
        <v>0</v>
      </c>
      <c r="U34" s="4">
        <f>MOD(SUM(U31:U32,V33),2)</f>
        <v>0</v>
      </c>
      <c r="V34" s="4">
        <f>IF(MOD(V31+V32,2)=1,1,0)</f>
        <v>0</v>
      </c>
      <c r="W34" t="s">
        <v>20</v>
      </c>
      <c r="X34" s="3" cm="1">
        <f t="array" ref="X34">IF(D34=0,BinToDec16(D34&amp;E34&amp;F34&amp;G34&amp;I34&amp;J34&amp;K34&amp;L34&amp;N34&amp;O34&amp;P34&amp;Q34&amp;S34&amp;T34&amp;U34&amp;V34),-1*(65536-BinToDec16(D34&amp;E34&amp;F34&amp;G34&amp;I34&amp;J34&amp;K34&amp;L34&amp;N34&amp;O34&amp;P34&amp;Q34&amp;S34&amp;T34&amp;U34&amp;V34)))</f>
        <v>24616</v>
      </c>
      <c r="Y34" t="s">
        <v>33</v>
      </c>
      <c r="Z34">
        <f>VLOOKUP(AB34,перевод!$A$4:$C$15,3,0)+VLOOKUP(AD34,перевод!$A$4:$C$15,3,0)</f>
        <v>24614</v>
      </c>
      <c r="AA34" t="s">
        <v>36</v>
      </c>
      <c r="AB34" t="s">
        <v>45</v>
      </c>
      <c r="AC34" t="s">
        <v>19</v>
      </c>
      <c r="AD34" t="s">
        <v>37</v>
      </c>
    </row>
  </sheetData>
  <mergeCells count="7">
    <mergeCell ref="AK32:AO32"/>
    <mergeCell ref="AK2:AO2"/>
    <mergeCell ref="AK7:AO7"/>
    <mergeCell ref="AK12:AO12"/>
    <mergeCell ref="AK17:AO17"/>
    <mergeCell ref="AK22:AO22"/>
    <mergeCell ref="AK27:AO2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A95A9-205F-4C29-A0BF-AC1D2E9AC12F}">
  <dimension ref="S1:AH1741"/>
  <sheetViews>
    <sheetView tabSelected="1" topLeftCell="L1" zoomScale="58" workbookViewId="0">
      <selection activeCell="AH1" sqref="S1:AH1048576"/>
    </sheetView>
  </sheetViews>
  <sheetFormatPr defaultRowHeight="15" x14ac:dyDescent="0.25"/>
  <cols>
    <col min="19" max="19" width="22" bestFit="1" customWidth="1"/>
    <col min="20" max="20" width="23" bestFit="1" customWidth="1"/>
    <col min="21" max="21" width="22.5703125" bestFit="1" customWidth="1"/>
    <col min="22" max="23" width="22" bestFit="1" customWidth="1"/>
    <col min="24" max="24" width="23" bestFit="1" customWidth="1"/>
    <col min="25" max="25" width="22.5703125" bestFit="1" customWidth="1"/>
    <col min="26" max="27" width="22" bestFit="1" customWidth="1"/>
    <col min="28" max="28" width="23" bestFit="1" customWidth="1"/>
    <col min="29" max="29" width="22.5703125" bestFit="1" customWidth="1"/>
    <col min="30" max="31" width="22" bestFit="1" customWidth="1"/>
    <col min="32" max="32" width="23" bestFit="1" customWidth="1"/>
    <col min="33" max="33" width="22.5703125" bestFit="1" customWidth="1"/>
    <col min="34" max="34" width="22" customWidth="1"/>
  </cols>
  <sheetData>
    <row r="1" spans="19:34" x14ac:dyDescent="0.25"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  <c r="Y1" t="s">
        <v>61</v>
      </c>
      <c r="Z1" t="s">
        <v>62</v>
      </c>
      <c r="AA1" t="s">
        <v>63</v>
      </c>
      <c r="AB1" t="s">
        <v>64</v>
      </c>
      <c r="AC1" t="s">
        <v>65</v>
      </c>
      <c r="AD1" t="s">
        <v>66</v>
      </c>
      <c r="AE1" t="s">
        <v>67</v>
      </c>
      <c r="AF1" t="s">
        <v>68</v>
      </c>
      <c r="AG1" t="s">
        <v>69</v>
      </c>
      <c r="AH1" t="s">
        <v>70</v>
      </c>
    </row>
    <row r="2" spans="19:34" x14ac:dyDescent="0.25">
      <c r="S2" s="11">
        <v>107290</v>
      </c>
      <c r="T2" s="11">
        <v>107770</v>
      </c>
      <c r="U2" s="11">
        <v>107290</v>
      </c>
      <c r="V2" s="11">
        <v>107720</v>
      </c>
      <c r="W2" s="12">
        <v>114540</v>
      </c>
      <c r="X2" s="12">
        <v>115140</v>
      </c>
      <c r="Y2" s="12">
        <v>114540</v>
      </c>
      <c r="Z2" s="12">
        <v>114890</v>
      </c>
      <c r="AA2" s="12">
        <v>109390</v>
      </c>
      <c r="AB2" s="12">
        <v>109600</v>
      </c>
      <c r="AC2" s="12">
        <v>108960</v>
      </c>
      <c r="AD2" s="12">
        <v>109000</v>
      </c>
      <c r="AE2" s="11">
        <v>112880</v>
      </c>
      <c r="AF2" s="11">
        <v>112880</v>
      </c>
      <c r="AG2" s="11">
        <v>112040</v>
      </c>
      <c r="AH2" s="11">
        <v>112300</v>
      </c>
    </row>
    <row r="3" spans="19:34" x14ac:dyDescent="0.25">
      <c r="S3" s="12">
        <v>107760</v>
      </c>
      <c r="T3" s="12">
        <v>107800</v>
      </c>
      <c r="U3" s="12">
        <v>107690</v>
      </c>
      <c r="V3" s="12">
        <v>107800</v>
      </c>
      <c r="W3" s="11">
        <v>114870</v>
      </c>
      <c r="X3" s="11">
        <v>115020</v>
      </c>
      <c r="Y3" s="11">
        <v>114800</v>
      </c>
      <c r="Z3" s="11">
        <v>114820</v>
      </c>
      <c r="AA3" s="11">
        <v>109010</v>
      </c>
      <c r="AB3" s="11">
        <v>109260</v>
      </c>
      <c r="AC3" s="11">
        <v>108840</v>
      </c>
      <c r="AD3" s="11">
        <v>108860</v>
      </c>
      <c r="AE3" s="12">
        <v>112300</v>
      </c>
      <c r="AF3" s="12">
        <v>112320</v>
      </c>
      <c r="AG3" s="12">
        <v>112100</v>
      </c>
      <c r="AH3" s="12">
        <v>112130</v>
      </c>
    </row>
    <row r="4" spans="19:34" x14ac:dyDescent="0.25">
      <c r="S4" s="11">
        <v>107780</v>
      </c>
      <c r="T4" s="11">
        <v>107780</v>
      </c>
      <c r="U4" s="11">
        <v>107610</v>
      </c>
      <c r="V4" s="11">
        <v>107610</v>
      </c>
      <c r="W4" s="12">
        <v>114810</v>
      </c>
      <c r="X4" s="12">
        <v>114820</v>
      </c>
      <c r="Y4" s="12">
        <v>114660</v>
      </c>
      <c r="Z4" s="12">
        <v>114720</v>
      </c>
      <c r="AA4" s="12">
        <v>108850</v>
      </c>
      <c r="AB4" s="12">
        <v>108960</v>
      </c>
      <c r="AC4" s="12">
        <v>108770</v>
      </c>
      <c r="AD4" s="12">
        <v>108890</v>
      </c>
      <c r="AE4" s="11">
        <v>112120</v>
      </c>
      <c r="AF4" s="11">
        <v>112200</v>
      </c>
      <c r="AG4" s="11">
        <v>112000</v>
      </c>
      <c r="AH4" s="11">
        <v>112200</v>
      </c>
    </row>
    <row r="5" spans="19:34" x14ac:dyDescent="0.25">
      <c r="S5" s="12">
        <v>107600</v>
      </c>
      <c r="T5" s="12">
        <v>107670</v>
      </c>
      <c r="U5" s="12">
        <v>107570</v>
      </c>
      <c r="V5" s="12">
        <v>107650</v>
      </c>
      <c r="W5" s="11">
        <v>114720</v>
      </c>
      <c r="X5" s="11">
        <v>114730</v>
      </c>
      <c r="Y5" s="11">
        <v>114550</v>
      </c>
      <c r="Z5" s="11">
        <v>114580</v>
      </c>
      <c r="AA5" s="11">
        <v>108890</v>
      </c>
      <c r="AB5" s="11">
        <v>109220</v>
      </c>
      <c r="AC5" s="11">
        <v>108870</v>
      </c>
      <c r="AD5" s="11">
        <v>109200</v>
      </c>
      <c r="AE5" s="12">
        <v>112180</v>
      </c>
      <c r="AF5" s="12">
        <v>112200</v>
      </c>
      <c r="AG5" s="12">
        <v>112120</v>
      </c>
      <c r="AH5" s="12">
        <v>112130</v>
      </c>
    </row>
    <row r="6" spans="19:34" x14ac:dyDescent="0.25">
      <c r="S6" s="11">
        <v>107650</v>
      </c>
      <c r="T6" s="11">
        <v>107650</v>
      </c>
      <c r="U6" s="11">
        <v>107490</v>
      </c>
      <c r="V6" s="11">
        <v>107570</v>
      </c>
      <c r="W6" s="12">
        <v>114570</v>
      </c>
      <c r="X6" s="12">
        <v>114680</v>
      </c>
      <c r="Y6" s="12">
        <v>114570</v>
      </c>
      <c r="Z6" s="12">
        <v>114650</v>
      </c>
      <c r="AA6" s="12">
        <v>109210</v>
      </c>
      <c r="AB6" s="12">
        <v>109210</v>
      </c>
      <c r="AC6" s="12">
        <v>109020</v>
      </c>
      <c r="AD6" s="12">
        <v>109020</v>
      </c>
      <c r="AE6" s="11">
        <v>112120</v>
      </c>
      <c r="AF6" s="11">
        <v>112140</v>
      </c>
      <c r="AG6" s="11">
        <v>111940</v>
      </c>
      <c r="AH6" s="11">
        <v>112010</v>
      </c>
    </row>
    <row r="7" spans="19:34" x14ac:dyDescent="0.25">
      <c r="S7" s="12">
        <v>107600</v>
      </c>
      <c r="T7" s="12">
        <v>107600</v>
      </c>
      <c r="U7" s="12">
        <v>107550</v>
      </c>
      <c r="V7" s="12">
        <v>107570</v>
      </c>
      <c r="W7" s="11">
        <v>114660</v>
      </c>
      <c r="X7" s="11">
        <v>114710</v>
      </c>
      <c r="Y7" s="11">
        <v>114630</v>
      </c>
      <c r="Z7" s="11">
        <v>114710</v>
      </c>
      <c r="AA7" s="11">
        <v>109030</v>
      </c>
      <c r="AB7" s="11">
        <v>109190</v>
      </c>
      <c r="AC7" s="11">
        <v>108910</v>
      </c>
      <c r="AD7" s="11">
        <v>109150</v>
      </c>
      <c r="AE7" s="12">
        <v>112020</v>
      </c>
      <c r="AF7" s="12">
        <v>112020</v>
      </c>
      <c r="AG7" s="12">
        <v>111930</v>
      </c>
      <c r="AH7" s="12">
        <v>112000</v>
      </c>
    </row>
    <row r="8" spans="19:34" x14ac:dyDescent="0.25">
      <c r="S8" s="11">
        <v>107600</v>
      </c>
      <c r="T8" s="11">
        <v>107660</v>
      </c>
      <c r="U8" s="11">
        <v>107600</v>
      </c>
      <c r="V8" s="11">
        <v>107600</v>
      </c>
      <c r="W8" s="12">
        <v>114710</v>
      </c>
      <c r="X8" s="12">
        <v>114730</v>
      </c>
      <c r="Y8" s="12">
        <v>114410</v>
      </c>
      <c r="Z8" s="12">
        <v>114450</v>
      </c>
      <c r="AA8" s="12">
        <v>109160</v>
      </c>
      <c r="AB8" s="12">
        <v>109180</v>
      </c>
      <c r="AC8" s="12">
        <v>109020</v>
      </c>
      <c r="AD8" s="12">
        <v>109020</v>
      </c>
      <c r="AE8" s="11">
        <v>112000</v>
      </c>
      <c r="AF8" s="11">
        <v>112080</v>
      </c>
      <c r="AG8" s="11">
        <v>111990</v>
      </c>
      <c r="AH8" s="11">
        <v>112040</v>
      </c>
    </row>
    <row r="9" spans="19:34" x14ac:dyDescent="0.25">
      <c r="S9" s="12">
        <v>107620</v>
      </c>
      <c r="T9" s="12">
        <v>107670</v>
      </c>
      <c r="U9" s="12">
        <v>107620</v>
      </c>
      <c r="V9" s="12">
        <v>107670</v>
      </c>
      <c r="W9" s="11">
        <v>114460</v>
      </c>
      <c r="X9" s="11">
        <v>114550</v>
      </c>
      <c r="Y9" s="11">
        <v>114390</v>
      </c>
      <c r="Z9" s="11">
        <v>114550</v>
      </c>
      <c r="AA9" s="11">
        <v>109010</v>
      </c>
      <c r="AB9" s="11">
        <v>109270</v>
      </c>
      <c r="AC9" s="11">
        <v>109010</v>
      </c>
      <c r="AD9" s="11">
        <v>109110</v>
      </c>
      <c r="AE9" s="12">
        <v>112040</v>
      </c>
      <c r="AF9" s="12">
        <v>112100</v>
      </c>
      <c r="AG9" s="12">
        <v>112020</v>
      </c>
      <c r="AH9" s="12">
        <v>112100</v>
      </c>
    </row>
    <row r="10" spans="19:34" x14ac:dyDescent="0.25">
      <c r="S10" s="11">
        <v>107640</v>
      </c>
      <c r="T10" s="11">
        <v>107690</v>
      </c>
      <c r="U10" s="11">
        <v>107640</v>
      </c>
      <c r="V10" s="11">
        <v>107690</v>
      </c>
      <c r="W10" s="12">
        <v>114550</v>
      </c>
      <c r="X10" s="12">
        <v>114580</v>
      </c>
      <c r="Y10" s="12">
        <v>114430</v>
      </c>
      <c r="Z10" s="12">
        <v>114480</v>
      </c>
      <c r="AA10" s="12">
        <v>109110</v>
      </c>
      <c r="AB10" s="12">
        <v>109190</v>
      </c>
      <c r="AC10" s="12">
        <v>109090</v>
      </c>
      <c r="AD10" s="12">
        <v>109130</v>
      </c>
      <c r="AE10" s="11">
        <v>112090</v>
      </c>
      <c r="AF10" s="11">
        <v>112090</v>
      </c>
      <c r="AG10" s="11">
        <v>112050</v>
      </c>
      <c r="AH10" s="11">
        <v>112080</v>
      </c>
    </row>
    <row r="11" spans="19:34" x14ac:dyDescent="0.25">
      <c r="S11" s="12">
        <v>107650</v>
      </c>
      <c r="T11" s="12">
        <v>107650</v>
      </c>
      <c r="U11" s="12">
        <v>107650</v>
      </c>
      <c r="V11" s="12">
        <v>107650</v>
      </c>
      <c r="W11" s="11">
        <v>114470</v>
      </c>
      <c r="X11" s="11">
        <v>114540</v>
      </c>
      <c r="Y11" s="11">
        <v>114470</v>
      </c>
      <c r="Z11" s="11">
        <v>114500</v>
      </c>
      <c r="AA11" s="11">
        <v>109130</v>
      </c>
      <c r="AB11" s="11">
        <v>109180</v>
      </c>
      <c r="AC11" s="11">
        <v>109060</v>
      </c>
      <c r="AD11" s="11">
        <v>109120</v>
      </c>
      <c r="AE11" s="12">
        <v>112050</v>
      </c>
      <c r="AF11" s="12">
        <v>112100</v>
      </c>
      <c r="AG11" s="12">
        <v>112040</v>
      </c>
      <c r="AH11" s="12">
        <v>112090</v>
      </c>
    </row>
    <row r="12" spans="19:34" x14ac:dyDescent="0.25">
      <c r="S12" s="11">
        <v>107660</v>
      </c>
      <c r="T12" s="11">
        <v>107660</v>
      </c>
      <c r="U12" s="11">
        <v>107610</v>
      </c>
      <c r="V12" s="11">
        <v>107640</v>
      </c>
      <c r="W12" s="12">
        <v>114500</v>
      </c>
      <c r="X12" s="12">
        <v>114770</v>
      </c>
      <c r="Y12" s="12">
        <v>114470</v>
      </c>
      <c r="Z12" s="12">
        <v>114770</v>
      </c>
      <c r="AA12" s="12">
        <v>109130</v>
      </c>
      <c r="AB12" s="12">
        <v>109150</v>
      </c>
      <c r="AC12" s="12">
        <v>109020</v>
      </c>
      <c r="AD12" s="12">
        <v>109090</v>
      </c>
      <c r="AE12" s="11">
        <v>112080</v>
      </c>
      <c r="AF12" s="11">
        <v>112090</v>
      </c>
      <c r="AG12" s="11">
        <v>112020</v>
      </c>
      <c r="AH12" s="11">
        <v>112070</v>
      </c>
    </row>
    <row r="13" spans="19:34" x14ac:dyDescent="0.25">
      <c r="S13" s="12">
        <v>107650</v>
      </c>
      <c r="T13" s="12">
        <v>107650</v>
      </c>
      <c r="U13" s="12">
        <v>107650</v>
      </c>
      <c r="V13" s="12">
        <v>107650</v>
      </c>
      <c r="W13" s="11">
        <v>114760</v>
      </c>
      <c r="X13" s="11">
        <v>114810</v>
      </c>
      <c r="Y13" s="11">
        <v>114690</v>
      </c>
      <c r="Z13" s="11">
        <v>114740</v>
      </c>
      <c r="AA13" s="11">
        <v>109080</v>
      </c>
      <c r="AB13" s="11">
        <v>109230</v>
      </c>
      <c r="AC13" s="11">
        <v>109060</v>
      </c>
      <c r="AD13" s="11">
        <v>109200</v>
      </c>
      <c r="AE13" s="12">
        <v>112060</v>
      </c>
      <c r="AF13" s="12">
        <v>112120</v>
      </c>
      <c r="AG13" s="12">
        <v>112030</v>
      </c>
      <c r="AH13" s="12">
        <v>112110</v>
      </c>
    </row>
    <row r="14" spans="19:34" x14ac:dyDescent="0.25">
      <c r="S14" s="11">
        <v>107660</v>
      </c>
      <c r="T14" s="11">
        <v>107710</v>
      </c>
      <c r="U14" s="11">
        <v>107660</v>
      </c>
      <c r="V14" s="11">
        <v>107710</v>
      </c>
      <c r="W14" s="12">
        <v>114740</v>
      </c>
      <c r="X14" s="12">
        <v>114780</v>
      </c>
      <c r="Y14" s="12">
        <v>114650</v>
      </c>
      <c r="Z14" s="12">
        <v>114680</v>
      </c>
      <c r="AA14" s="12">
        <v>109190</v>
      </c>
      <c r="AB14" s="12">
        <v>109270</v>
      </c>
      <c r="AC14" s="12">
        <v>109110</v>
      </c>
      <c r="AD14" s="12">
        <v>109110</v>
      </c>
      <c r="AE14" s="11">
        <v>112110</v>
      </c>
      <c r="AF14" s="11">
        <v>112110</v>
      </c>
      <c r="AG14" s="11">
        <v>112060</v>
      </c>
      <c r="AH14" s="11">
        <v>112080</v>
      </c>
    </row>
    <row r="15" spans="19:34" x14ac:dyDescent="0.25">
      <c r="S15" s="12">
        <v>107750</v>
      </c>
      <c r="T15" s="12">
        <v>107850</v>
      </c>
      <c r="U15" s="12">
        <v>107740</v>
      </c>
      <c r="V15" s="12">
        <v>107850</v>
      </c>
      <c r="W15" s="11">
        <v>114670</v>
      </c>
      <c r="X15" s="11">
        <v>114710</v>
      </c>
      <c r="Y15" s="11">
        <v>114530</v>
      </c>
      <c r="Z15" s="11">
        <v>114590</v>
      </c>
      <c r="AA15" s="11">
        <v>109110</v>
      </c>
      <c r="AB15" s="11">
        <v>109110</v>
      </c>
      <c r="AC15" s="11">
        <v>108960</v>
      </c>
      <c r="AD15" s="11">
        <v>109060</v>
      </c>
      <c r="AE15" s="12">
        <v>112070</v>
      </c>
      <c r="AF15" s="12">
        <v>112070</v>
      </c>
      <c r="AG15" s="12">
        <v>112000</v>
      </c>
      <c r="AH15" s="12">
        <v>112000</v>
      </c>
    </row>
    <row r="16" spans="19:34" x14ac:dyDescent="0.25">
      <c r="S16" s="11">
        <v>107880</v>
      </c>
      <c r="T16" s="11">
        <v>107900</v>
      </c>
      <c r="U16" s="11">
        <v>107850</v>
      </c>
      <c r="V16" s="11">
        <v>107880</v>
      </c>
      <c r="W16" s="12">
        <v>114580</v>
      </c>
      <c r="X16" s="12">
        <v>114660</v>
      </c>
      <c r="Y16" s="12">
        <v>114550</v>
      </c>
      <c r="Z16" s="12">
        <v>114580</v>
      </c>
      <c r="AA16" s="12">
        <v>109070</v>
      </c>
      <c r="AB16" s="12">
        <v>109070</v>
      </c>
      <c r="AC16" s="12">
        <v>108950</v>
      </c>
      <c r="AD16" s="12">
        <v>108950</v>
      </c>
      <c r="AE16" s="11">
        <v>112000</v>
      </c>
      <c r="AF16" s="11">
        <v>112010</v>
      </c>
      <c r="AG16" s="11">
        <v>111960</v>
      </c>
      <c r="AH16" s="11">
        <v>111970</v>
      </c>
    </row>
    <row r="17" spans="19:34" x14ac:dyDescent="0.25">
      <c r="S17" s="12">
        <v>107900</v>
      </c>
      <c r="T17" s="12">
        <v>107910</v>
      </c>
      <c r="U17" s="12">
        <v>107790</v>
      </c>
      <c r="V17" s="12">
        <v>107860</v>
      </c>
      <c r="W17" s="11">
        <v>114590</v>
      </c>
      <c r="X17" s="11">
        <v>114640</v>
      </c>
      <c r="Y17" s="11">
        <v>114520</v>
      </c>
      <c r="Z17" s="11">
        <v>114610</v>
      </c>
      <c r="AA17" s="11">
        <v>108950</v>
      </c>
      <c r="AB17" s="11">
        <v>109010</v>
      </c>
      <c r="AC17" s="11">
        <v>108910</v>
      </c>
      <c r="AD17" s="11">
        <v>108950</v>
      </c>
      <c r="AE17" s="12">
        <v>111960</v>
      </c>
      <c r="AF17" s="12">
        <v>112050</v>
      </c>
      <c r="AG17" s="12">
        <v>111930</v>
      </c>
      <c r="AH17" s="12">
        <v>112050</v>
      </c>
    </row>
    <row r="18" spans="19:34" x14ac:dyDescent="0.25">
      <c r="S18" s="11">
        <v>107880</v>
      </c>
      <c r="T18" s="11">
        <v>107910</v>
      </c>
      <c r="U18" s="11">
        <v>107870</v>
      </c>
      <c r="V18" s="11">
        <v>107910</v>
      </c>
      <c r="W18" s="12">
        <v>114600</v>
      </c>
      <c r="X18" s="12">
        <v>114670</v>
      </c>
      <c r="Y18" s="12">
        <v>114590</v>
      </c>
      <c r="Z18" s="12">
        <v>114640</v>
      </c>
      <c r="AA18" s="12">
        <v>108940</v>
      </c>
      <c r="AB18" s="12">
        <v>109040</v>
      </c>
      <c r="AC18" s="12">
        <v>108910</v>
      </c>
      <c r="AD18" s="12">
        <v>109020</v>
      </c>
      <c r="AE18" s="11">
        <v>112050</v>
      </c>
      <c r="AF18" s="11">
        <v>112060</v>
      </c>
      <c r="AG18" s="11">
        <v>111970</v>
      </c>
      <c r="AH18" s="11">
        <v>112000</v>
      </c>
    </row>
    <row r="19" spans="19:34" x14ac:dyDescent="0.25">
      <c r="S19" s="12">
        <v>107920</v>
      </c>
      <c r="T19" s="12">
        <v>107990</v>
      </c>
      <c r="U19" s="12">
        <v>107920</v>
      </c>
      <c r="V19" s="12">
        <v>107950</v>
      </c>
      <c r="W19" s="11">
        <v>114640</v>
      </c>
      <c r="X19" s="11">
        <v>114800</v>
      </c>
      <c r="Y19" s="11">
        <v>114630</v>
      </c>
      <c r="Z19" s="11">
        <v>114740</v>
      </c>
      <c r="AA19" s="11">
        <v>109030</v>
      </c>
      <c r="AB19" s="11">
        <v>109120</v>
      </c>
      <c r="AC19" s="11">
        <v>108990</v>
      </c>
      <c r="AD19" s="11">
        <v>109030</v>
      </c>
      <c r="AE19" s="12">
        <v>112000</v>
      </c>
      <c r="AF19" s="12">
        <v>112060</v>
      </c>
      <c r="AG19" s="12">
        <v>111990</v>
      </c>
      <c r="AH19" s="12">
        <v>112060</v>
      </c>
    </row>
    <row r="20" spans="19:34" x14ac:dyDescent="0.25">
      <c r="S20" s="11">
        <v>107930</v>
      </c>
      <c r="T20" s="11">
        <v>107930</v>
      </c>
      <c r="U20" s="11">
        <v>107780</v>
      </c>
      <c r="V20" s="11">
        <v>107850</v>
      </c>
      <c r="W20" s="12">
        <v>114750</v>
      </c>
      <c r="X20" s="12">
        <v>114820</v>
      </c>
      <c r="Y20" s="12">
        <v>114740</v>
      </c>
      <c r="Z20" s="12">
        <v>114790</v>
      </c>
      <c r="AA20" s="12">
        <v>109020</v>
      </c>
      <c r="AB20" s="12">
        <v>109090</v>
      </c>
      <c r="AC20" s="12">
        <v>108960</v>
      </c>
      <c r="AD20" s="12">
        <v>109090</v>
      </c>
      <c r="AE20" s="11">
        <v>112040</v>
      </c>
      <c r="AF20" s="11">
        <v>112060</v>
      </c>
      <c r="AG20" s="11">
        <v>111990</v>
      </c>
      <c r="AH20" s="11">
        <v>112020</v>
      </c>
    </row>
    <row r="21" spans="19:34" x14ac:dyDescent="0.25">
      <c r="S21" s="12">
        <v>107870</v>
      </c>
      <c r="T21" s="12">
        <v>107890</v>
      </c>
      <c r="U21" s="12">
        <v>107810</v>
      </c>
      <c r="V21" s="12">
        <v>107820</v>
      </c>
      <c r="W21" s="11">
        <v>114790</v>
      </c>
      <c r="X21" s="11">
        <v>114840</v>
      </c>
      <c r="Y21" s="11">
        <v>114750</v>
      </c>
      <c r="Z21" s="11">
        <v>114780</v>
      </c>
      <c r="AA21" s="11">
        <v>109080</v>
      </c>
      <c r="AB21" s="11">
        <v>109200</v>
      </c>
      <c r="AC21" s="11">
        <v>109050</v>
      </c>
      <c r="AD21" s="11">
        <v>109110</v>
      </c>
      <c r="AE21" s="12">
        <v>112000</v>
      </c>
      <c r="AF21" s="12">
        <v>112010</v>
      </c>
      <c r="AG21" s="12">
        <v>111870</v>
      </c>
      <c r="AH21" s="12">
        <v>111900</v>
      </c>
    </row>
    <row r="22" spans="19:34" x14ac:dyDescent="0.25">
      <c r="S22" s="11">
        <v>107890</v>
      </c>
      <c r="T22" s="11">
        <v>107890</v>
      </c>
      <c r="U22" s="11">
        <v>107840</v>
      </c>
      <c r="V22" s="11">
        <v>107840</v>
      </c>
      <c r="W22" s="12">
        <v>114780</v>
      </c>
      <c r="X22" s="12">
        <v>114830</v>
      </c>
      <c r="Y22" s="12">
        <v>114730</v>
      </c>
      <c r="Z22" s="12">
        <v>114810</v>
      </c>
      <c r="AA22" s="12">
        <v>109100</v>
      </c>
      <c r="AB22" s="12">
        <v>109160</v>
      </c>
      <c r="AC22" s="12">
        <v>109030</v>
      </c>
      <c r="AD22" s="12">
        <v>109150</v>
      </c>
      <c r="AE22" s="11">
        <v>111910</v>
      </c>
      <c r="AF22" s="11">
        <v>111960</v>
      </c>
      <c r="AG22" s="11">
        <v>111860</v>
      </c>
      <c r="AH22" s="11">
        <v>111910</v>
      </c>
    </row>
    <row r="23" spans="19:34" x14ac:dyDescent="0.25">
      <c r="S23" s="12">
        <v>107820</v>
      </c>
      <c r="T23" s="12">
        <v>107820</v>
      </c>
      <c r="U23" s="12">
        <v>107800</v>
      </c>
      <c r="V23" s="12">
        <v>107800</v>
      </c>
      <c r="W23" s="11">
        <v>114820</v>
      </c>
      <c r="X23" s="11">
        <v>114890</v>
      </c>
      <c r="Y23" s="11">
        <v>114740</v>
      </c>
      <c r="Z23" s="11">
        <v>114780</v>
      </c>
      <c r="AA23" s="11">
        <v>109150</v>
      </c>
      <c r="AB23" s="11">
        <v>109320</v>
      </c>
      <c r="AC23" s="11">
        <v>109130</v>
      </c>
      <c r="AD23" s="11">
        <v>109300</v>
      </c>
      <c r="AE23" s="12">
        <v>111900</v>
      </c>
      <c r="AF23" s="12">
        <v>111930</v>
      </c>
      <c r="AG23" s="12">
        <v>111860</v>
      </c>
      <c r="AH23" s="12">
        <v>111910</v>
      </c>
    </row>
    <row r="24" spans="19:34" x14ac:dyDescent="0.25">
      <c r="S24" s="11">
        <v>107780</v>
      </c>
      <c r="T24" s="11">
        <v>107820</v>
      </c>
      <c r="U24" s="11">
        <v>107780</v>
      </c>
      <c r="V24" s="11">
        <v>107820</v>
      </c>
      <c r="W24" s="12">
        <v>114770</v>
      </c>
      <c r="X24" s="12">
        <v>114810</v>
      </c>
      <c r="Y24" s="12">
        <v>114730</v>
      </c>
      <c r="Z24" s="12">
        <v>114800</v>
      </c>
      <c r="AA24" s="12">
        <v>109300</v>
      </c>
      <c r="AB24" s="12">
        <v>109400</v>
      </c>
      <c r="AC24" s="12">
        <v>109260</v>
      </c>
      <c r="AD24" s="12">
        <v>109270</v>
      </c>
      <c r="AE24" s="11">
        <v>111900</v>
      </c>
      <c r="AF24" s="11">
        <v>111920</v>
      </c>
      <c r="AG24" s="11">
        <v>111840</v>
      </c>
      <c r="AH24" s="11">
        <v>111840</v>
      </c>
    </row>
    <row r="25" spans="19:34" x14ac:dyDescent="0.25">
      <c r="S25" s="12">
        <v>107810</v>
      </c>
      <c r="T25" s="12">
        <v>107810</v>
      </c>
      <c r="U25" s="12">
        <v>107740</v>
      </c>
      <c r="V25" s="12">
        <v>107740</v>
      </c>
      <c r="W25" s="11">
        <v>114780</v>
      </c>
      <c r="X25" s="11">
        <v>114780</v>
      </c>
      <c r="Y25" s="11">
        <v>114670</v>
      </c>
      <c r="Z25" s="11">
        <v>114740</v>
      </c>
      <c r="AA25" s="11">
        <v>109280</v>
      </c>
      <c r="AB25" s="11">
        <v>109440</v>
      </c>
      <c r="AC25" s="11">
        <v>109280</v>
      </c>
      <c r="AD25" s="11">
        <v>109440</v>
      </c>
      <c r="AE25" s="12">
        <v>111840</v>
      </c>
      <c r="AF25" s="12">
        <v>111860</v>
      </c>
      <c r="AG25" s="12">
        <v>111780</v>
      </c>
      <c r="AH25" s="12">
        <v>111840</v>
      </c>
    </row>
    <row r="26" spans="19:34" x14ac:dyDescent="0.25">
      <c r="S26" s="11">
        <v>107720</v>
      </c>
      <c r="T26" s="11">
        <v>107720</v>
      </c>
      <c r="U26" s="11">
        <v>107560</v>
      </c>
      <c r="V26" s="11">
        <v>107560</v>
      </c>
      <c r="W26" s="12">
        <v>114740</v>
      </c>
      <c r="X26" s="12">
        <v>114820</v>
      </c>
      <c r="Y26" s="12">
        <v>114740</v>
      </c>
      <c r="Z26" s="12">
        <v>114770</v>
      </c>
      <c r="AA26" s="12">
        <v>109440</v>
      </c>
      <c r="AB26" s="12">
        <v>109440</v>
      </c>
      <c r="AC26" s="12">
        <v>109340</v>
      </c>
      <c r="AD26" s="12">
        <v>109340</v>
      </c>
      <c r="AE26" s="11">
        <v>111830</v>
      </c>
      <c r="AF26" s="11">
        <v>111860</v>
      </c>
      <c r="AG26" s="11">
        <v>111780</v>
      </c>
      <c r="AH26" s="11">
        <v>111790</v>
      </c>
    </row>
    <row r="27" spans="19:34" x14ac:dyDescent="0.25">
      <c r="S27" s="12">
        <v>107620</v>
      </c>
      <c r="T27" s="12">
        <v>107690</v>
      </c>
      <c r="U27" s="12">
        <v>107580</v>
      </c>
      <c r="V27" s="12">
        <v>107680</v>
      </c>
      <c r="W27" s="11">
        <v>114780</v>
      </c>
      <c r="X27" s="11">
        <v>114830</v>
      </c>
      <c r="Y27" s="11">
        <v>114720</v>
      </c>
      <c r="Z27" s="11">
        <v>114750</v>
      </c>
      <c r="AA27" s="11">
        <v>109340</v>
      </c>
      <c r="AB27" s="11">
        <v>109470</v>
      </c>
      <c r="AC27" s="11">
        <v>109330</v>
      </c>
      <c r="AD27" s="11">
        <v>109440</v>
      </c>
      <c r="AE27" s="12">
        <v>111780</v>
      </c>
      <c r="AF27" s="12">
        <v>111780</v>
      </c>
      <c r="AG27" s="12">
        <v>111560</v>
      </c>
      <c r="AH27" s="12">
        <v>111700</v>
      </c>
    </row>
    <row r="28" spans="19:34" x14ac:dyDescent="0.25">
      <c r="S28" s="11">
        <v>107690</v>
      </c>
      <c r="T28" s="11">
        <v>107750</v>
      </c>
      <c r="U28" s="11">
        <v>107690</v>
      </c>
      <c r="V28" s="11">
        <v>107750</v>
      </c>
      <c r="W28" s="12">
        <v>114750</v>
      </c>
      <c r="X28" s="12">
        <v>114840</v>
      </c>
      <c r="Y28" s="12">
        <v>114750</v>
      </c>
      <c r="Z28" s="12">
        <v>114830</v>
      </c>
      <c r="AA28" s="12">
        <v>109450</v>
      </c>
      <c r="AB28" s="12">
        <v>109550</v>
      </c>
      <c r="AC28" s="12">
        <v>109450</v>
      </c>
      <c r="AD28" s="12">
        <v>109530</v>
      </c>
      <c r="AE28" s="11">
        <v>111710</v>
      </c>
      <c r="AF28" s="11">
        <v>111740</v>
      </c>
      <c r="AG28" s="11">
        <v>111680</v>
      </c>
      <c r="AH28" s="11">
        <v>111700</v>
      </c>
    </row>
    <row r="29" spans="19:34" x14ac:dyDescent="0.25">
      <c r="S29" s="12">
        <v>107810</v>
      </c>
      <c r="T29" s="12">
        <v>107880</v>
      </c>
      <c r="U29" s="12">
        <v>107810</v>
      </c>
      <c r="V29" s="12">
        <v>107880</v>
      </c>
      <c r="W29" s="11">
        <v>114840</v>
      </c>
      <c r="X29" s="11">
        <v>114890</v>
      </c>
      <c r="Y29" s="11">
        <v>114770</v>
      </c>
      <c r="Z29" s="11">
        <v>114810</v>
      </c>
      <c r="AA29" s="11">
        <v>109530</v>
      </c>
      <c r="AB29" s="11">
        <v>109590</v>
      </c>
      <c r="AC29" s="11">
        <v>109500</v>
      </c>
      <c r="AD29" s="11">
        <v>109510</v>
      </c>
      <c r="AE29" s="12">
        <v>111700</v>
      </c>
      <c r="AF29" s="12">
        <v>111780</v>
      </c>
      <c r="AG29" s="12">
        <v>111690</v>
      </c>
      <c r="AH29" s="12">
        <v>111760</v>
      </c>
    </row>
    <row r="30" spans="19:34" x14ac:dyDescent="0.25">
      <c r="S30" s="11">
        <v>107870</v>
      </c>
      <c r="T30" s="11">
        <v>107940</v>
      </c>
      <c r="U30" s="11">
        <v>107820</v>
      </c>
      <c r="V30" s="11">
        <v>107940</v>
      </c>
      <c r="W30" s="12">
        <v>114810</v>
      </c>
      <c r="X30" s="12">
        <v>114990</v>
      </c>
      <c r="Y30" s="12">
        <v>114810</v>
      </c>
      <c r="Z30" s="12">
        <v>114940</v>
      </c>
      <c r="AA30" s="12">
        <v>109520</v>
      </c>
      <c r="AB30" s="12">
        <v>109580</v>
      </c>
      <c r="AC30" s="12">
        <v>109480</v>
      </c>
      <c r="AD30" s="12">
        <v>109490</v>
      </c>
      <c r="AE30" s="11">
        <v>111760</v>
      </c>
      <c r="AF30" s="11">
        <v>111800</v>
      </c>
      <c r="AG30" s="11">
        <v>111750</v>
      </c>
      <c r="AH30" s="11">
        <v>111790</v>
      </c>
    </row>
    <row r="31" spans="19:34" x14ac:dyDescent="0.25">
      <c r="S31" s="12">
        <v>107900</v>
      </c>
      <c r="T31" s="12">
        <v>107900</v>
      </c>
      <c r="U31" s="12">
        <v>107840</v>
      </c>
      <c r="V31" s="12">
        <v>107850</v>
      </c>
      <c r="W31" s="11">
        <v>114940</v>
      </c>
      <c r="X31" s="11">
        <v>114960</v>
      </c>
      <c r="Y31" s="11">
        <v>114840</v>
      </c>
      <c r="Z31" s="11">
        <v>114860</v>
      </c>
      <c r="AA31" s="11">
        <v>109490</v>
      </c>
      <c r="AB31" s="11">
        <v>109500</v>
      </c>
      <c r="AC31" s="11">
        <v>109350</v>
      </c>
      <c r="AD31" s="11">
        <v>109350</v>
      </c>
      <c r="AE31" s="12">
        <v>111790</v>
      </c>
      <c r="AF31" s="12">
        <v>111790</v>
      </c>
      <c r="AG31" s="12">
        <v>111730</v>
      </c>
      <c r="AH31" s="12">
        <v>111760</v>
      </c>
    </row>
    <row r="32" spans="19:34" x14ac:dyDescent="0.25">
      <c r="S32" s="11">
        <v>107840</v>
      </c>
      <c r="T32" s="11">
        <v>107840</v>
      </c>
      <c r="U32" s="11">
        <v>107780</v>
      </c>
      <c r="V32" s="11">
        <v>107780</v>
      </c>
      <c r="W32" s="12">
        <v>114870</v>
      </c>
      <c r="X32" s="12">
        <v>114960</v>
      </c>
      <c r="Y32" s="12">
        <v>114870</v>
      </c>
      <c r="Z32" s="12">
        <v>114960</v>
      </c>
      <c r="AA32" s="12">
        <v>109370</v>
      </c>
      <c r="AB32" s="12">
        <v>109370</v>
      </c>
      <c r="AC32" s="12">
        <v>109210</v>
      </c>
      <c r="AD32" s="12">
        <v>109230</v>
      </c>
      <c r="AE32" s="11">
        <v>111750</v>
      </c>
      <c r="AF32" s="11">
        <v>111780</v>
      </c>
      <c r="AG32" s="11">
        <v>111710</v>
      </c>
      <c r="AH32" s="11">
        <v>111770</v>
      </c>
    </row>
    <row r="33" spans="19:34" x14ac:dyDescent="0.25">
      <c r="S33" s="12">
        <v>107800</v>
      </c>
      <c r="T33" s="12">
        <v>107830</v>
      </c>
      <c r="U33" s="12">
        <v>107790</v>
      </c>
      <c r="V33" s="12">
        <v>107830</v>
      </c>
      <c r="W33" s="11">
        <v>114950</v>
      </c>
      <c r="X33" s="11">
        <v>114970</v>
      </c>
      <c r="Y33" s="11">
        <v>114890</v>
      </c>
      <c r="Z33" s="11">
        <v>114910</v>
      </c>
      <c r="AA33" s="11">
        <v>109220</v>
      </c>
      <c r="AB33" s="11">
        <v>109400</v>
      </c>
      <c r="AC33" s="11">
        <v>109210</v>
      </c>
      <c r="AD33" s="11">
        <v>109370</v>
      </c>
      <c r="AE33" s="12">
        <v>111770</v>
      </c>
      <c r="AF33" s="12">
        <v>111840</v>
      </c>
      <c r="AG33" s="12">
        <v>111750</v>
      </c>
      <c r="AH33" s="12">
        <v>111810</v>
      </c>
    </row>
    <row r="34" spans="19:34" x14ac:dyDescent="0.25">
      <c r="S34" s="11">
        <v>107820</v>
      </c>
      <c r="T34" s="11">
        <v>107900</v>
      </c>
      <c r="U34" s="11">
        <v>107820</v>
      </c>
      <c r="V34" s="11">
        <v>107900</v>
      </c>
      <c r="W34" s="12">
        <v>114910</v>
      </c>
      <c r="X34" s="12">
        <v>114940</v>
      </c>
      <c r="Y34" s="12">
        <v>114890</v>
      </c>
      <c r="Z34" s="12">
        <v>114920</v>
      </c>
      <c r="AA34" s="12">
        <v>109360</v>
      </c>
      <c r="AB34" s="12">
        <v>109410</v>
      </c>
      <c r="AC34" s="12">
        <v>109350</v>
      </c>
      <c r="AD34" s="12">
        <v>109400</v>
      </c>
      <c r="AE34" s="11">
        <v>111810</v>
      </c>
      <c r="AF34" s="11">
        <v>111820</v>
      </c>
      <c r="AG34" s="11">
        <v>111760</v>
      </c>
      <c r="AH34" s="11">
        <v>111780</v>
      </c>
    </row>
    <row r="35" spans="19:34" x14ac:dyDescent="0.25">
      <c r="S35" s="12">
        <v>107870</v>
      </c>
      <c r="T35" s="12">
        <v>107870</v>
      </c>
      <c r="U35" s="12">
        <v>107870</v>
      </c>
      <c r="V35" s="12">
        <v>107870</v>
      </c>
      <c r="W35" s="11">
        <v>114910</v>
      </c>
      <c r="X35" s="11">
        <v>114930</v>
      </c>
      <c r="Y35" s="11">
        <v>114890</v>
      </c>
      <c r="Z35" s="11">
        <v>114920</v>
      </c>
      <c r="AA35" s="11">
        <v>109390</v>
      </c>
      <c r="AB35" s="11">
        <v>109510</v>
      </c>
      <c r="AC35" s="11">
        <v>109370</v>
      </c>
      <c r="AD35" s="11">
        <v>109450</v>
      </c>
      <c r="AE35" s="12">
        <v>111780</v>
      </c>
      <c r="AF35" s="12">
        <v>111830</v>
      </c>
      <c r="AG35" s="12">
        <v>111770</v>
      </c>
      <c r="AH35" s="12">
        <v>111820</v>
      </c>
    </row>
    <row r="36" spans="19:34" x14ac:dyDescent="0.25">
      <c r="S36" s="11">
        <v>107880</v>
      </c>
      <c r="T36" s="11">
        <v>107940</v>
      </c>
      <c r="U36" s="11">
        <v>107880</v>
      </c>
      <c r="V36" s="11">
        <v>107940</v>
      </c>
      <c r="W36" s="12">
        <v>114920</v>
      </c>
      <c r="X36" s="12">
        <v>114990</v>
      </c>
      <c r="Y36" s="12">
        <v>114910</v>
      </c>
      <c r="Z36" s="12">
        <v>114990</v>
      </c>
      <c r="AA36" s="12">
        <v>109440</v>
      </c>
      <c r="AB36" s="12">
        <v>109500</v>
      </c>
      <c r="AC36" s="12">
        <v>109380</v>
      </c>
      <c r="AD36" s="12">
        <v>109420</v>
      </c>
      <c r="AE36" s="11">
        <v>111820</v>
      </c>
      <c r="AF36" s="11">
        <v>111830</v>
      </c>
      <c r="AG36" s="11">
        <v>111760</v>
      </c>
      <c r="AH36" s="11">
        <v>111790</v>
      </c>
    </row>
    <row r="37" spans="19:34" x14ac:dyDescent="0.25">
      <c r="S37" s="12">
        <v>107930</v>
      </c>
      <c r="T37" s="12">
        <v>108020</v>
      </c>
      <c r="U37" s="12">
        <v>107920</v>
      </c>
      <c r="V37" s="12">
        <v>108020</v>
      </c>
      <c r="W37" s="11">
        <v>114980</v>
      </c>
      <c r="X37" s="11">
        <v>114980</v>
      </c>
      <c r="Y37" s="11">
        <v>114890</v>
      </c>
      <c r="Z37" s="11">
        <v>114960</v>
      </c>
      <c r="AA37" s="11">
        <v>109410</v>
      </c>
      <c r="AB37" s="11">
        <v>109420</v>
      </c>
      <c r="AC37" s="11">
        <v>109350</v>
      </c>
      <c r="AD37" s="11">
        <v>109380</v>
      </c>
      <c r="AE37" s="12">
        <v>111790</v>
      </c>
      <c r="AF37" s="12">
        <v>111790</v>
      </c>
      <c r="AG37" s="12">
        <v>111670</v>
      </c>
      <c r="AH37" s="12">
        <v>111710</v>
      </c>
    </row>
    <row r="38" spans="19:34" x14ac:dyDescent="0.25">
      <c r="S38" s="11">
        <v>108000</v>
      </c>
      <c r="T38" s="11">
        <v>108000</v>
      </c>
      <c r="U38" s="11">
        <v>107910</v>
      </c>
      <c r="V38" s="11">
        <v>107920</v>
      </c>
      <c r="W38" s="12">
        <v>114950</v>
      </c>
      <c r="X38" s="12">
        <v>114980</v>
      </c>
      <c r="Y38" s="12">
        <v>114900</v>
      </c>
      <c r="Z38" s="12">
        <v>114970</v>
      </c>
      <c r="AA38" s="12">
        <v>109370</v>
      </c>
      <c r="AB38" s="12">
        <v>109410</v>
      </c>
      <c r="AC38" s="12">
        <v>109350</v>
      </c>
      <c r="AD38" s="12">
        <v>109360</v>
      </c>
      <c r="AE38" s="11">
        <v>111690</v>
      </c>
      <c r="AF38" s="11">
        <v>111760</v>
      </c>
      <c r="AG38" s="11">
        <v>111670</v>
      </c>
      <c r="AH38" s="11">
        <v>111690</v>
      </c>
    </row>
    <row r="39" spans="19:34" x14ac:dyDescent="0.25">
      <c r="S39" s="12">
        <v>107890</v>
      </c>
      <c r="T39" s="12">
        <v>107960</v>
      </c>
      <c r="U39" s="12">
        <v>107880</v>
      </c>
      <c r="V39" s="12">
        <v>107960</v>
      </c>
      <c r="W39" s="11">
        <v>114970</v>
      </c>
      <c r="X39" s="11">
        <v>114970</v>
      </c>
      <c r="Y39" s="11">
        <v>114870</v>
      </c>
      <c r="Z39" s="11">
        <v>114890</v>
      </c>
      <c r="AA39" s="11">
        <v>109360</v>
      </c>
      <c r="AB39" s="11">
        <v>109380</v>
      </c>
      <c r="AC39" s="11">
        <v>109330</v>
      </c>
      <c r="AD39" s="11">
        <v>109380</v>
      </c>
      <c r="AE39" s="12">
        <v>111690</v>
      </c>
      <c r="AF39" s="12">
        <v>111690</v>
      </c>
      <c r="AG39" s="12">
        <v>111510</v>
      </c>
      <c r="AH39" s="12">
        <v>111570</v>
      </c>
    </row>
    <row r="40" spans="19:34" x14ac:dyDescent="0.25">
      <c r="S40" s="11">
        <v>108000</v>
      </c>
      <c r="T40" s="11">
        <v>108090</v>
      </c>
      <c r="U40" s="11">
        <v>108000</v>
      </c>
      <c r="V40" s="11">
        <v>108020</v>
      </c>
      <c r="W40" s="12">
        <v>114880</v>
      </c>
      <c r="X40" s="12">
        <v>114900</v>
      </c>
      <c r="Y40" s="12">
        <v>114860</v>
      </c>
      <c r="Z40" s="12">
        <v>114900</v>
      </c>
      <c r="AA40" s="12">
        <v>109380</v>
      </c>
      <c r="AB40" s="12">
        <v>109460</v>
      </c>
      <c r="AC40" s="12">
        <v>109350</v>
      </c>
      <c r="AD40" s="12">
        <v>109380</v>
      </c>
      <c r="AE40" s="11">
        <v>111580</v>
      </c>
      <c r="AF40" s="11">
        <v>111690</v>
      </c>
      <c r="AG40" s="11">
        <v>111580</v>
      </c>
      <c r="AH40" s="11">
        <v>111660</v>
      </c>
    </row>
    <row r="41" spans="19:34" x14ac:dyDescent="0.25">
      <c r="S41" s="12">
        <v>108060</v>
      </c>
      <c r="T41" s="12">
        <v>108260</v>
      </c>
      <c r="U41" s="12">
        <v>108060</v>
      </c>
      <c r="V41" s="12">
        <v>108160</v>
      </c>
      <c r="W41" s="11">
        <v>114900</v>
      </c>
      <c r="X41" s="11">
        <v>114960</v>
      </c>
      <c r="Y41" s="11">
        <v>114880</v>
      </c>
      <c r="Z41" s="11">
        <v>114940</v>
      </c>
      <c r="AA41" s="11">
        <v>109390</v>
      </c>
      <c r="AB41" s="11">
        <v>109500</v>
      </c>
      <c r="AC41" s="11">
        <v>109380</v>
      </c>
      <c r="AD41" s="11">
        <v>109490</v>
      </c>
      <c r="AE41" s="12">
        <v>111660</v>
      </c>
      <c r="AF41" s="12">
        <v>111700</v>
      </c>
      <c r="AG41" s="12">
        <v>111630</v>
      </c>
      <c r="AH41" s="12">
        <v>111660</v>
      </c>
    </row>
    <row r="42" spans="19:34" x14ac:dyDescent="0.25">
      <c r="S42" s="11">
        <v>108190</v>
      </c>
      <c r="T42" s="11">
        <v>108230</v>
      </c>
      <c r="U42" s="11">
        <v>108170</v>
      </c>
      <c r="V42" s="11">
        <v>108190</v>
      </c>
      <c r="W42" s="12">
        <v>114940</v>
      </c>
      <c r="X42" s="12">
        <v>115020</v>
      </c>
      <c r="Y42" s="12">
        <v>114900</v>
      </c>
      <c r="Z42" s="12">
        <v>114980</v>
      </c>
      <c r="AA42" s="12">
        <v>109480</v>
      </c>
      <c r="AB42" s="12">
        <v>109490</v>
      </c>
      <c r="AC42" s="12">
        <v>109390</v>
      </c>
      <c r="AD42" s="12">
        <v>109420</v>
      </c>
      <c r="AE42" s="11">
        <v>111640</v>
      </c>
      <c r="AF42" s="11">
        <v>111720</v>
      </c>
      <c r="AG42" s="11">
        <v>111610</v>
      </c>
      <c r="AH42" s="11">
        <v>111700</v>
      </c>
    </row>
    <row r="43" spans="19:34" x14ac:dyDescent="0.25">
      <c r="S43" s="12">
        <v>108160</v>
      </c>
      <c r="T43" s="12">
        <v>108190</v>
      </c>
      <c r="U43" s="12">
        <v>108130</v>
      </c>
      <c r="V43" s="12">
        <v>108190</v>
      </c>
      <c r="W43" s="11">
        <v>114960</v>
      </c>
      <c r="X43" s="11">
        <v>114960</v>
      </c>
      <c r="Y43" s="11">
        <v>114700</v>
      </c>
      <c r="Z43" s="11">
        <v>114750</v>
      </c>
      <c r="AA43" s="11">
        <v>109420</v>
      </c>
      <c r="AB43" s="11">
        <v>109420</v>
      </c>
      <c r="AC43" s="11">
        <v>109340</v>
      </c>
      <c r="AD43" s="11">
        <v>109360</v>
      </c>
      <c r="AE43" s="12">
        <v>111700</v>
      </c>
      <c r="AF43" s="12">
        <v>111700</v>
      </c>
      <c r="AG43" s="12">
        <v>111650</v>
      </c>
      <c r="AH43" s="12">
        <v>111670</v>
      </c>
    </row>
    <row r="44" spans="19:34" x14ac:dyDescent="0.25">
      <c r="S44" s="11">
        <v>108150</v>
      </c>
      <c r="T44" s="11">
        <v>108150</v>
      </c>
      <c r="U44" s="11">
        <v>108080</v>
      </c>
      <c r="V44" s="11">
        <v>108100</v>
      </c>
      <c r="W44" s="12">
        <v>114750</v>
      </c>
      <c r="X44" s="12">
        <v>114780</v>
      </c>
      <c r="Y44" s="12">
        <v>114700</v>
      </c>
      <c r="Z44" s="12">
        <v>114730</v>
      </c>
      <c r="AA44" s="12">
        <v>109360</v>
      </c>
      <c r="AB44" s="12">
        <v>109400</v>
      </c>
      <c r="AC44" s="12">
        <v>109270</v>
      </c>
      <c r="AD44" s="12">
        <v>109290</v>
      </c>
      <c r="AE44" s="11">
        <v>111670</v>
      </c>
      <c r="AF44" s="11">
        <v>111750</v>
      </c>
      <c r="AG44" s="11">
        <v>111670</v>
      </c>
      <c r="AH44" s="11">
        <v>111720</v>
      </c>
    </row>
    <row r="45" spans="19:34" x14ac:dyDescent="0.25">
      <c r="S45" s="12">
        <v>108070</v>
      </c>
      <c r="T45" s="12">
        <v>108100</v>
      </c>
      <c r="U45" s="12">
        <v>108040</v>
      </c>
      <c r="V45" s="12">
        <v>108100</v>
      </c>
      <c r="W45" s="11">
        <v>114720</v>
      </c>
      <c r="X45" s="11">
        <v>114720</v>
      </c>
      <c r="Y45" s="11">
        <v>114610</v>
      </c>
      <c r="Z45" s="11">
        <v>114650</v>
      </c>
      <c r="AA45" s="11">
        <v>109290</v>
      </c>
      <c r="AB45" s="11">
        <v>109380</v>
      </c>
      <c r="AC45" s="11">
        <v>109260</v>
      </c>
      <c r="AD45" s="11">
        <v>109370</v>
      </c>
      <c r="AE45" s="12">
        <v>111730</v>
      </c>
      <c r="AF45" s="12">
        <v>111730</v>
      </c>
      <c r="AG45" s="12">
        <v>111680</v>
      </c>
      <c r="AH45" s="12">
        <v>111720</v>
      </c>
    </row>
    <row r="46" spans="19:34" x14ac:dyDescent="0.25">
      <c r="S46" s="11">
        <v>108100</v>
      </c>
      <c r="T46" s="11">
        <v>108100</v>
      </c>
      <c r="U46" s="11">
        <v>108030</v>
      </c>
      <c r="V46" s="11">
        <v>108030</v>
      </c>
      <c r="W46" s="12">
        <v>114650</v>
      </c>
      <c r="X46" s="12">
        <v>114700</v>
      </c>
      <c r="Y46" s="12">
        <v>114550</v>
      </c>
      <c r="Z46" s="12">
        <v>114670</v>
      </c>
      <c r="AA46" s="12">
        <v>109370</v>
      </c>
      <c r="AB46" s="12">
        <v>109410</v>
      </c>
      <c r="AC46" s="12">
        <v>109360</v>
      </c>
      <c r="AD46" s="12">
        <v>109380</v>
      </c>
      <c r="AE46" s="11">
        <v>111720</v>
      </c>
      <c r="AF46" s="11">
        <v>111730</v>
      </c>
      <c r="AG46" s="11">
        <v>111690</v>
      </c>
      <c r="AH46" s="11">
        <v>111700</v>
      </c>
    </row>
    <row r="47" spans="19:34" x14ac:dyDescent="0.25">
      <c r="S47" s="12">
        <v>108020</v>
      </c>
      <c r="T47" s="12">
        <v>108040</v>
      </c>
      <c r="U47" s="12">
        <v>107860</v>
      </c>
      <c r="V47" s="12">
        <v>108000</v>
      </c>
      <c r="W47" s="11">
        <v>114670</v>
      </c>
      <c r="X47" s="11">
        <v>114760</v>
      </c>
      <c r="Y47" s="11">
        <v>114620</v>
      </c>
      <c r="Z47" s="11">
        <v>114740</v>
      </c>
      <c r="AA47" s="11">
        <v>109380</v>
      </c>
      <c r="AB47" s="11">
        <v>109390</v>
      </c>
      <c r="AC47" s="11">
        <v>109300</v>
      </c>
      <c r="AD47" s="11">
        <v>109340</v>
      </c>
      <c r="AE47" s="12">
        <v>111690</v>
      </c>
      <c r="AF47" s="12">
        <v>111730</v>
      </c>
      <c r="AG47" s="12">
        <v>111670</v>
      </c>
      <c r="AH47" s="12">
        <v>111720</v>
      </c>
    </row>
    <row r="48" spans="19:34" x14ac:dyDescent="0.25">
      <c r="S48" s="11">
        <v>107980</v>
      </c>
      <c r="T48" s="11">
        <v>108010</v>
      </c>
      <c r="U48" s="11">
        <v>107980</v>
      </c>
      <c r="V48" s="11">
        <v>108010</v>
      </c>
      <c r="W48" s="12">
        <v>114750</v>
      </c>
      <c r="X48" s="12">
        <v>114850</v>
      </c>
      <c r="Y48" s="12">
        <v>114750</v>
      </c>
      <c r="Z48" s="12">
        <v>114790</v>
      </c>
      <c r="AA48" s="12">
        <v>109340</v>
      </c>
      <c r="AB48" s="12">
        <v>109350</v>
      </c>
      <c r="AC48" s="12">
        <v>109250</v>
      </c>
      <c r="AD48" s="12">
        <v>109310</v>
      </c>
      <c r="AE48" s="11">
        <v>111730</v>
      </c>
      <c r="AF48" s="11">
        <v>111730</v>
      </c>
      <c r="AG48" s="11">
        <v>111690</v>
      </c>
      <c r="AH48" s="11">
        <v>111720</v>
      </c>
    </row>
    <row r="49" spans="19:34" x14ac:dyDescent="0.25">
      <c r="S49" s="12">
        <v>108010</v>
      </c>
      <c r="T49" s="12">
        <v>108010</v>
      </c>
      <c r="U49" s="12">
        <v>108010</v>
      </c>
      <c r="V49" s="12">
        <v>108010</v>
      </c>
      <c r="W49" s="11">
        <v>114800</v>
      </c>
      <c r="X49" s="11">
        <v>114850</v>
      </c>
      <c r="Y49" s="11">
        <v>114790</v>
      </c>
      <c r="Z49" s="11">
        <v>114810</v>
      </c>
      <c r="AA49" s="11">
        <v>109310</v>
      </c>
      <c r="AB49" s="11">
        <v>109330</v>
      </c>
      <c r="AC49" s="11">
        <v>109270</v>
      </c>
      <c r="AD49" s="11">
        <v>109320</v>
      </c>
      <c r="AE49" s="12">
        <v>111720</v>
      </c>
      <c r="AF49" s="12">
        <v>111780</v>
      </c>
      <c r="AG49" s="12">
        <v>111720</v>
      </c>
      <c r="AH49" s="12">
        <v>111750</v>
      </c>
    </row>
    <row r="50" spans="19:34" x14ac:dyDescent="0.25">
      <c r="S50" s="11">
        <v>107990</v>
      </c>
      <c r="T50" s="11">
        <v>107990</v>
      </c>
      <c r="U50" s="11">
        <v>107900</v>
      </c>
      <c r="V50" s="11">
        <v>107940</v>
      </c>
      <c r="W50" s="12">
        <v>114810</v>
      </c>
      <c r="X50" s="12">
        <v>114870</v>
      </c>
      <c r="Y50" s="12">
        <v>114790</v>
      </c>
      <c r="Z50" s="12">
        <v>114830</v>
      </c>
      <c r="AA50" s="12">
        <v>109310</v>
      </c>
      <c r="AB50" s="12">
        <v>109370</v>
      </c>
      <c r="AC50" s="12">
        <v>109270</v>
      </c>
      <c r="AD50" s="12">
        <v>109290</v>
      </c>
      <c r="AE50" s="11">
        <v>111750</v>
      </c>
      <c r="AF50" s="11">
        <v>111790</v>
      </c>
      <c r="AG50" s="11">
        <v>111740</v>
      </c>
      <c r="AH50" s="11">
        <v>111780</v>
      </c>
    </row>
    <row r="51" spans="19:34" x14ac:dyDescent="0.25">
      <c r="S51" s="12">
        <v>107930</v>
      </c>
      <c r="T51" s="12">
        <v>107940</v>
      </c>
      <c r="U51" s="12">
        <v>107930</v>
      </c>
      <c r="V51" s="12">
        <v>107930</v>
      </c>
      <c r="W51" s="11">
        <v>114840</v>
      </c>
      <c r="X51" s="11">
        <v>114840</v>
      </c>
      <c r="Y51" s="11">
        <v>114750</v>
      </c>
      <c r="Z51" s="11">
        <v>114790</v>
      </c>
      <c r="AA51" s="11">
        <v>109290</v>
      </c>
      <c r="AB51" s="11">
        <v>109320</v>
      </c>
      <c r="AC51" s="11">
        <v>109240</v>
      </c>
      <c r="AD51" s="11">
        <v>109280</v>
      </c>
      <c r="AE51" s="12">
        <v>111790</v>
      </c>
      <c r="AF51" s="12">
        <v>111850</v>
      </c>
      <c r="AG51" s="12">
        <v>111770</v>
      </c>
      <c r="AH51" s="12">
        <v>111840</v>
      </c>
    </row>
    <row r="52" spans="19:34" x14ac:dyDescent="0.25">
      <c r="S52" s="11">
        <v>107970</v>
      </c>
      <c r="T52" s="11">
        <v>107970</v>
      </c>
      <c r="U52" s="11">
        <v>107960</v>
      </c>
      <c r="V52" s="11">
        <v>107960</v>
      </c>
      <c r="W52" s="12">
        <v>114780</v>
      </c>
      <c r="X52" s="12">
        <v>114820</v>
      </c>
      <c r="Y52" s="12">
        <v>114780</v>
      </c>
      <c r="Z52" s="12">
        <v>114790</v>
      </c>
      <c r="AA52" s="12">
        <v>109270</v>
      </c>
      <c r="AB52" s="12">
        <v>109270</v>
      </c>
      <c r="AC52" s="12">
        <v>109160</v>
      </c>
      <c r="AD52" s="12">
        <v>109250</v>
      </c>
      <c r="AE52" s="11">
        <v>111840</v>
      </c>
      <c r="AF52" s="11">
        <v>111840</v>
      </c>
      <c r="AG52" s="11">
        <v>111750</v>
      </c>
      <c r="AH52" s="11">
        <v>111760</v>
      </c>
    </row>
    <row r="53" spans="19:34" x14ac:dyDescent="0.25">
      <c r="S53" s="12">
        <v>107950</v>
      </c>
      <c r="T53" s="12">
        <v>107950</v>
      </c>
      <c r="U53" s="12">
        <v>107810</v>
      </c>
      <c r="V53" s="12">
        <v>107810</v>
      </c>
      <c r="W53" s="11">
        <v>114790</v>
      </c>
      <c r="X53" s="11">
        <v>114790</v>
      </c>
      <c r="Y53" s="11">
        <v>114690</v>
      </c>
      <c r="Z53" s="11">
        <v>114730</v>
      </c>
      <c r="AA53" s="11">
        <v>109250</v>
      </c>
      <c r="AB53" s="11">
        <v>109310</v>
      </c>
      <c r="AC53" s="11">
        <v>109240</v>
      </c>
      <c r="AD53" s="11">
        <v>109270</v>
      </c>
      <c r="AE53" s="12">
        <v>111780</v>
      </c>
      <c r="AF53" s="12">
        <v>111810</v>
      </c>
      <c r="AG53" s="12">
        <v>111780</v>
      </c>
      <c r="AH53" s="12">
        <v>111810</v>
      </c>
    </row>
    <row r="54" spans="19:34" x14ac:dyDescent="0.25">
      <c r="S54" s="11">
        <v>107820</v>
      </c>
      <c r="T54" s="11">
        <v>107840</v>
      </c>
      <c r="U54" s="11">
        <v>107820</v>
      </c>
      <c r="V54" s="11">
        <v>107830</v>
      </c>
      <c r="W54" s="12">
        <v>114730</v>
      </c>
      <c r="X54" s="12">
        <v>114730</v>
      </c>
      <c r="Y54" s="12">
        <v>114640</v>
      </c>
      <c r="Z54" s="12">
        <v>114710</v>
      </c>
      <c r="AA54" s="12">
        <v>109260</v>
      </c>
      <c r="AB54" s="12">
        <v>109340</v>
      </c>
      <c r="AC54" s="12">
        <v>109240</v>
      </c>
      <c r="AD54" s="12">
        <v>109330</v>
      </c>
      <c r="AE54" s="11">
        <v>111820</v>
      </c>
      <c r="AF54" s="11">
        <v>111840</v>
      </c>
      <c r="AG54" s="11">
        <v>111770</v>
      </c>
      <c r="AH54" s="11">
        <v>111830</v>
      </c>
    </row>
    <row r="55" spans="19:34" x14ac:dyDescent="0.25">
      <c r="S55" s="12">
        <v>107830</v>
      </c>
      <c r="T55" s="12">
        <v>107840</v>
      </c>
      <c r="U55" s="12">
        <v>107830</v>
      </c>
      <c r="V55" s="12">
        <v>107830</v>
      </c>
      <c r="W55" s="11">
        <v>114710</v>
      </c>
      <c r="X55" s="11">
        <v>114740</v>
      </c>
      <c r="Y55" s="11">
        <v>114700</v>
      </c>
      <c r="Z55" s="11">
        <v>114720</v>
      </c>
      <c r="AA55" s="11">
        <v>109330</v>
      </c>
      <c r="AB55" s="11">
        <v>109400</v>
      </c>
      <c r="AC55" s="11">
        <v>109330</v>
      </c>
      <c r="AD55" s="11">
        <v>109380</v>
      </c>
      <c r="AE55" s="12">
        <v>111830</v>
      </c>
      <c r="AF55" s="12">
        <v>111850</v>
      </c>
      <c r="AG55" s="12">
        <v>111820</v>
      </c>
      <c r="AH55" s="12">
        <v>111840</v>
      </c>
    </row>
    <row r="56" spans="19:34" x14ac:dyDescent="0.25">
      <c r="S56" s="11">
        <v>107790</v>
      </c>
      <c r="T56" s="11">
        <v>107790</v>
      </c>
      <c r="U56" s="11">
        <v>107740</v>
      </c>
      <c r="V56" s="11">
        <v>107780</v>
      </c>
      <c r="W56" s="12">
        <v>114720</v>
      </c>
      <c r="X56" s="12">
        <v>114720</v>
      </c>
      <c r="Y56" s="12">
        <v>114620</v>
      </c>
      <c r="Z56" s="12">
        <v>114630</v>
      </c>
      <c r="AA56" s="12">
        <v>109360</v>
      </c>
      <c r="AB56" s="12">
        <v>109390</v>
      </c>
      <c r="AC56" s="12">
        <v>109280</v>
      </c>
      <c r="AD56" s="12">
        <v>109300</v>
      </c>
      <c r="AE56" s="11">
        <v>111850</v>
      </c>
      <c r="AF56" s="11">
        <v>111860</v>
      </c>
      <c r="AG56" s="11">
        <v>111800</v>
      </c>
      <c r="AH56" s="11">
        <v>111820</v>
      </c>
    </row>
    <row r="57" spans="19:34" x14ac:dyDescent="0.25">
      <c r="S57" s="12">
        <v>107770</v>
      </c>
      <c r="T57" s="12">
        <v>107800</v>
      </c>
      <c r="U57" s="12">
        <v>107740</v>
      </c>
      <c r="V57" s="12">
        <v>107800</v>
      </c>
      <c r="W57" s="11">
        <v>114630</v>
      </c>
      <c r="X57" s="11">
        <v>114680</v>
      </c>
      <c r="Y57" s="11">
        <v>114550</v>
      </c>
      <c r="Z57" s="11">
        <v>114680</v>
      </c>
      <c r="AA57" s="11">
        <v>109300</v>
      </c>
      <c r="AB57" s="11">
        <v>109310</v>
      </c>
      <c r="AC57" s="11">
        <v>109260</v>
      </c>
      <c r="AD57" s="11">
        <v>109290</v>
      </c>
      <c r="AE57" s="12">
        <v>111810</v>
      </c>
      <c r="AF57" s="12">
        <v>111830</v>
      </c>
      <c r="AG57" s="12">
        <v>111770</v>
      </c>
      <c r="AH57" s="12">
        <v>111800</v>
      </c>
    </row>
    <row r="58" spans="19:34" x14ac:dyDescent="0.25">
      <c r="S58" s="11">
        <v>107840</v>
      </c>
      <c r="T58" s="11">
        <v>107900</v>
      </c>
      <c r="U58" s="11">
        <v>107840</v>
      </c>
      <c r="V58" s="11">
        <v>107900</v>
      </c>
      <c r="W58" s="12">
        <v>114680</v>
      </c>
      <c r="X58" s="12">
        <v>114720</v>
      </c>
      <c r="Y58" s="12">
        <v>114630</v>
      </c>
      <c r="Z58" s="12">
        <v>114700</v>
      </c>
      <c r="AA58" s="12">
        <v>109300</v>
      </c>
      <c r="AB58" s="12">
        <v>109320</v>
      </c>
      <c r="AC58" s="12">
        <v>109250</v>
      </c>
      <c r="AD58" s="12">
        <v>109310</v>
      </c>
      <c r="AE58" s="11">
        <v>111800</v>
      </c>
      <c r="AF58" s="11">
        <v>111840</v>
      </c>
      <c r="AG58" s="11">
        <v>111790</v>
      </c>
      <c r="AH58" s="11">
        <v>111810</v>
      </c>
    </row>
    <row r="59" spans="19:34" x14ac:dyDescent="0.25">
      <c r="S59" s="12">
        <v>107950</v>
      </c>
      <c r="T59" s="12">
        <v>107950</v>
      </c>
      <c r="U59" s="12">
        <v>107930</v>
      </c>
      <c r="V59" s="12">
        <v>107930</v>
      </c>
      <c r="W59" s="11">
        <v>114700</v>
      </c>
      <c r="X59" s="11">
        <v>114710</v>
      </c>
      <c r="Y59" s="11">
        <v>114600</v>
      </c>
      <c r="Z59" s="11">
        <v>114620</v>
      </c>
      <c r="AA59" s="11">
        <v>109310</v>
      </c>
      <c r="AB59" s="11">
        <v>109370</v>
      </c>
      <c r="AC59" s="11">
        <v>109310</v>
      </c>
      <c r="AD59" s="11">
        <v>109320</v>
      </c>
      <c r="AE59" s="12">
        <v>111810</v>
      </c>
      <c r="AF59" s="12">
        <v>111810</v>
      </c>
      <c r="AG59" s="12">
        <v>111650</v>
      </c>
      <c r="AH59" s="12">
        <v>111680</v>
      </c>
    </row>
    <row r="60" spans="19:34" x14ac:dyDescent="0.25">
      <c r="S60" s="11">
        <v>107910</v>
      </c>
      <c r="T60" s="11">
        <v>107910</v>
      </c>
      <c r="U60" s="11">
        <v>107860</v>
      </c>
      <c r="V60" s="11">
        <v>107870</v>
      </c>
      <c r="W60" s="12">
        <v>114630</v>
      </c>
      <c r="X60" s="12">
        <v>114660</v>
      </c>
      <c r="Y60" s="12">
        <v>114490</v>
      </c>
      <c r="Z60" s="12">
        <v>114520</v>
      </c>
      <c r="AA60" s="12">
        <v>109330</v>
      </c>
      <c r="AB60" s="12">
        <v>109400</v>
      </c>
      <c r="AC60" s="12">
        <v>109310</v>
      </c>
      <c r="AD60" s="12">
        <v>109370</v>
      </c>
      <c r="AE60" s="11">
        <v>111670</v>
      </c>
      <c r="AF60" s="11">
        <v>111730</v>
      </c>
      <c r="AG60" s="11">
        <v>111630</v>
      </c>
      <c r="AH60" s="11">
        <v>111710</v>
      </c>
    </row>
    <row r="61" spans="19:34" x14ac:dyDescent="0.25">
      <c r="S61" s="12">
        <v>107860</v>
      </c>
      <c r="T61" s="12">
        <v>107860</v>
      </c>
      <c r="U61" s="12">
        <v>107860</v>
      </c>
      <c r="V61" s="12">
        <v>107860</v>
      </c>
      <c r="W61" s="11">
        <v>114520</v>
      </c>
      <c r="X61" s="11">
        <v>114670</v>
      </c>
      <c r="Y61" s="11">
        <v>114500</v>
      </c>
      <c r="Z61" s="11">
        <v>114650</v>
      </c>
      <c r="AA61" s="11">
        <v>109380</v>
      </c>
      <c r="AB61" s="11">
        <v>109460</v>
      </c>
      <c r="AC61" s="11">
        <v>109350</v>
      </c>
      <c r="AD61" s="11">
        <v>109390</v>
      </c>
      <c r="AE61" s="12">
        <v>111690</v>
      </c>
      <c r="AF61" s="12">
        <v>111720</v>
      </c>
      <c r="AG61" s="12">
        <v>111610</v>
      </c>
      <c r="AH61" s="12">
        <v>111640</v>
      </c>
    </row>
    <row r="62" spans="19:34" x14ac:dyDescent="0.25">
      <c r="S62" s="11">
        <v>107820</v>
      </c>
      <c r="T62" s="11">
        <v>107840</v>
      </c>
      <c r="U62" s="11">
        <v>107750</v>
      </c>
      <c r="V62" s="11">
        <v>107780</v>
      </c>
      <c r="W62" s="12">
        <v>114630</v>
      </c>
      <c r="X62" s="12">
        <v>114750</v>
      </c>
      <c r="Y62" s="12">
        <v>114600</v>
      </c>
      <c r="Z62" s="12">
        <v>114690</v>
      </c>
      <c r="AA62" s="12">
        <v>109400</v>
      </c>
      <c r="AB62" s="12">
        <v>109550</v>
      </c>
      <c r="AC62" s="12">
        <v>109300</v>
      </c>
      <c r="AD62" s="12">
        <v>109490</v>
      </c>
      <c r="AE62" s="11">
        <v>111630</v>
      </c>
      <c r="AF62" s="11">
        <v>111670</v>
      </c>
      <c r="AG62" s="11">
        <v>111420</v>
      </c>
      <c r="AH62" s="11">
        <v>111480</v>
      </c>
    </row>
    <row r="63" spans="19:34" x14ac:dyDescent="0.25">
      <c r="S63" s="12">
        <v>107770</v>
      </c>
      <c r="T63" s="12">
        <v>107770</v>
      </c>
      <c r="U63" s="12">
        <v>107690</v>
      </c>
      <c r="V63" s="12">
        <v>107690</v>
      </c>
      <c r="W63" s="11">
        <v>114690</v>
      </c>
      <c r="X63" s="11">
        <v>114720</v>
      </c>
      <c r="Y63" s="11">
        <v>114650</v>
      </c>
      <c r="Z63" s="11">
        <v>114700</v>
      </c>
      <c r="AA63" s="11">
        <v>109500</v>
      </c>
      <c r="AB63" s="11">
        <v>109500</v>
      </c>
      <c r="AC63" s="11">
        <v>109310</v>
      </c>
      <c r="AD63" s="11">
        <v>109350</v>
      </c>
      <c r="AE63" s="12">
        <v>111470</v>
      </c>
      <c r="AF63" s="12">
        <v>111480</v>
      </c>
      <c r="AG63" s="12">
        <v>111280</v>
      </c>
      <c r="AH63" s="12">
        <v>111430</v>
      </c>
    </row>
    <row r="64" spans="19:34" x14ac:dyDescent="0.25">
      <c r="S64" s="11">
        <v>107710</v>
      </c>
      <c r="T64" s="11">
        <v>107720</v>
      </c>
      <c r="U64" s="11">
        <v>107680</v>
      </c>
      <c r="V64" s="11">
        <v>107710</v>
      </c>
      <c r="W64" s="12">
        <v>114700</v>
      </c>
      <c r="X64" s="12">
        <v>114720</v>
      </c>
      <c r="Y64" s="12">
        <v>114560</v>
      </c>
      <c r="Z64" s="12">
        <v>114610</v>
      </c>
      <c r="AA64" s="12">
        <v>109350</v>
      </c>
      <c r="AB64" s="12">
        <v>109420</v>
      </c>
      <c r="AC64" s="12">
        <v>109300</v>
      </c>
      <c r="AD64" s="12">
        <v>109320</v>
      </c>
      <c r="AE64" s="11">
        <v>111420</v>
      </c>
      <c r="AF64" s="11">
        <v>111520</v>
      </c>
      <c r="AG64" s="11">
        <v>111400</v>
      </c>
      <c r="AH64" s="11">
        <v>111510</v>
      </c>
    </row>
    <row r="65" spans="19:34" x14ac:dyDescent="0.25">
      <c r="S65" s="12">
        <v>107720</v>
      </c>
      <c r="T65" s="12">
        <v>107720</v>
      </c>
      <c r="U65" s="12">
        <v>107660</v>
      </c>
      <c r="V65" s="12">
        <v>107670</v>
      </c>
      <c r="W65" s="11">
        <v>114610</v>
      </c>
      <c r="X65" s="11">
        <v>114670</v>
      </c>
      <c r="Y65" s="11">
        <v>114590</v>
      </c>
      <c r="Z65" s="11">
        <v>114630</v>
      </c>
      <c r="AA65" s="11">
        <v>109330</v>
      </c>
      <c r="AB65" s="11">
        <v>109360</v>
      </c>
      <c r="AC65" s="11">
        <v>109080</v>
      </c>
      <c r="AD65" s="11">
        <v>109110</v>
      </c>
      <c r="AE65" s="12">
        <v>111520</v>
      </c>
      <c r="AF65" s="12">
        <v>111620</v>
      </c>
      <c r="AG65" s="12">
        <v>111500</v>
      </c>
      <c r="AH65" s="12">
        <v>111610</v>
      </c>
    </row>
    <row r="66" spans="19:34" x14ac:dyDescent="0.25">
      <c r="S66" s="11">
        <v>107670</v>
      </c>
      <c r="T66" s="11">
        <v>107710</v>
      </c>
      <c r="U66" s="11">
        <v>107670</v>
      </c>
      <c r="V66" s="11">
        <v>107710</v>
      </c>
      <c r="W66" s="12">
        <v>114630</v>
      </c>
      <c r="X66" s="12">
        <v>114670</v>
      </c>
      <c r="Y66" s="12">
        <v>114610</v>
      </c>
      <c r="Z66" s="12">
        <v>114630</v>
      </c>
      <c r="AA66" s="12">
        <v>109120</v>
      </c>
      <c r="AB66" s="12">
        <v>109220</v>
      </c>
      <c r="AC66" s="12">
        <v>109100</v>
      </c>
      <c r="AD66" s="12">
        <v>109190</v>
      </c>
      <c r="AE66" s="11">
        <v>111620</v>
      </c>
      <c r="AF66" s="11">
        <v>111730</v>
      </c>
      <c r="AG66" s="11">
        <v>111620</v>
      </c>
      <c r="AH66" s="11">
        <v>111660</v>
      </c>
    </row>
    <row r="67" spans="19:34" x14ac:dyDescent="0.25">
      <c r="S67" s="12">
        <v>107670</v>
      </c>
      <c r="T67" s="12">
        <v>107670</v>
      </c>
      <c r="U67" s="12">
        <v>107670</v>
      </c>
      <c r="V67" s="12">
        <v>107670</v>
      </c>
      <c r="W67" s="11">
        <v>114640</v>
      </c>
      <c r="X67" s="11">
        <v>114670</v>
      </c>
      <c r="Y67" s="11">
        <v>114600</v>
      </c>
      <c r="Z67" s="11">
        <v>114640</v>
      </c>
      <c r="AA67" s="11">
        <v>109190</v>
      </c>
      <c r="AB67" s="11">
        <v>109290</v>
      </c>
      <c r="AC67" s="11">
        <v>109160</v>
      </c>
      <c r="AD67" s="11">
        <v>109280</v>
      </c>
      <c r="AE67" s="12">
        <v>111660</v>
      </c>
      <c r="AF67" s="12">
        <v>111700</v>
      </c>
      <c r="AG67" s="12">
        <v>111600</v>
      </c>
      <c r="AH67" s="12">
        <v>111650</v>
      </c>
    </row>
    <row r="68" spans="19:34" x14ac:dyDescent="0.25">
      <c r="S68" s="11">
        <v>107670</v>
      </c>
      <c r="T68" s="11">
        <v>107670</v>
      </c>
      <c r="U68" s="11">
        <v>107660</v>
      </c>
      <c r="V68" s="11">
        <v>107660</v>
      </c>
      <c r="W68" s="12">
        <v>114650</v>
      </c>
      <c r="X68" s="12">
        <v>114650</v>
      </c>
      <c r="Y68" s="12">
        <v>114590</v>
      </c>
      <c r="Z68" s="12">
        <v>114650</v>
      </c>
      <c r="AA68" s="12">
        <v>109270</v>
      </c>
      <c r="AB68" s="12">
        <v>109400</v>
      </c>
      <c r="AC68" s="12">
        <v>109270</v>
      </c>
      <c r="AD68" s="12">
        <v>109350</v>
      </c>
      <c r="AE68" s="11">
        <v>111650</v>
      </c>
      <c r="AF68" s="11">
        <v>111680</v>
      </c>
      <c r="AG68" s="11">
        <v>111600</v>
      </c>
      <c r="AH68" s="11">
        <v>111660</v>
      </c>
    </row>
    <row r="69" spans="19:34" x14ac:dyDescent="0.25">
      <c r="S69" s="12">
        <v>107630</v>
      </c>
      <c r="T69" s="12">
        <v>107670</v>
      </c>
      <c r="U69" s="12">
        <v>107630</v>
      </c>
      <c r="V69" s="12">
        <v>107660</v>
      </c>
      <c r="W69" s="11">
        <v>114650</v>
      </c>
      <c r="X69" s="11">
        <v>114750</v>
      </c>
      <c r="Y69" s="11">
        <v>114630</v>
      </c>
      <c r="Z69" s="11">
        <v>114750</v>
      </c>
      <c r="AA69" s="11">
        <v>109340</v>
      </c>
      <c r="AB69" s="11">
        <v>109360</v>
      </c>
      <c r="AC69" s="11">
        <v>109270</v>
      </c>
      <c r="AD69" s="11">
        <v>109340</v>
      </c>
      <c r="AE69" s="12">
        <v>111670</v>
      </c>
      <c r="AF69" s="12">
        <v>111700</v>
      </c>
      <c r="AG69" s="12">
        <v>111610</v>
      </c>
      <c r="AH69" s="12">
        <v>111620</v>
      </c>
    </row>
    <row r="70" spans="19:34" x14ac:dyDescent="0.25">
      <c r="S70" s="11">
        <v>107660</v>
      </c>
      <c r="T70" s="11">
        <v>107680</v>
      </c>
      <c r="U70" s="11">
        <v>107660</v>
      </c>
      <c r="V70" s="11">
        <v>107680</v>
      </c>
      <c r="W70" s="12">
        <v>114750</v>
      </c>
      <c r="X70" s="12">
        <v>114860</v>
      </c>
      <c r="Y70" s="12">
        <v>114750</v>
      </c>
      <c r="Z70" s="12">
        <v>114830</v>
      </c>
      <c r="AA70" s="12">
        <v>109340</v>
      </c>
      <c r="AB70" s="12">
        <v>109360</v>
      </c>
      <c r="AC70" s="12">
        <v>109170</v>
      </c>
      <c r="AD70" s="12">
        <v>109190</v>
      </c>
      <c r="AE70" s="11">
        <v>111630</v>
      </c>
      <c r="AF70" s="11">
        <v>111700</v>
      </c>
      <c r="AG70" s="11">
        <v>111620</v>
      </c>
      <c r="AH70" s="11">
        <v>111690</v>
      </c>
    </row>
    <row r="71" spans="19:34" x14ac:dyDescent="0.25">
      <c r="S71" s="12">
        <v>107710</v>
      </c>
      <c r="T71" s="12">
        <v>107710</v>
      </c>
      <c r="U71" s="12">
        <v>107680</v>
      </c>
      <c r="V71" s="12">
        <v>107680</v>
      </c>
      <c r="W71" s="11">
        <v>114830</v>
      </c>
      <c r="X71" s="11">
        <v>115040</v>
      </c>
      <c r="Y71" s="11">
        <v>114830</v>
      </c>
      <c r="Z71" s="11">
        <v>114880</v>
      </c>
      <c r="AA71" s="11">
        <v>109180</v>
      </c>
      <c r="AB71" s="11">
        <v>109270</v>
      </c>
      <c r="AC71" s="11">
        <v>109160</v>
      </c>
      <c r="AD71" s="11">
        <v>109270</v>
      </c>
      <c r="AE71" s="12">
        <v>111680</v>
      </c>
      <c r="AF71" s="12">
        <v>111720</v>
      </c>
      <c r="AG71" s="12">
        <v>111650</v>
      </c>
      <c r="AH71" s="12">
        <v>111680</v>
      </c>
    </row>
    <row r="72" spans="19:34" x14ac:dyDescent="0.25">
      <c r="S72" s="11">
        <v>107640</v>
      </c>
      <c r="T72" s="11">
        <v>107640</v>
      </c>
      <c r="U72" s="11">
        <v>107570</v>
      </c>
      <c r="V72" s="11">
        <v>107570</v>
      </c>
      <c r="W72" s="12">
        <v>114890</v>
      </c>
      <c r="X72" s="12">
        <v>114920</v>
      </c>
      <c r="Y72" s="12">
        <v>114850</v>
      </c>
      <c r="Z72" s="12">
        <v>114880</v>
      </c>
      <c r="AA72" s="12">
        <v>109270</v>
      </c>
      <c r="AB72" s="12">
        <v>109390</v>
      </c>
      <c r="AC72" s="12">
        <v>109190</v>
      </c>
      <c r="AD72" s="12">
        <v>109360</v>
      </c>
      <c r="AE72" s="11">
        <v>111680</v>
      </c>
      <c r="AF72" s="11">
        <v>111680</v>
      </c>
      <c r="AG72" s="11">
        <v>111560</v>
      </c>
      <c r="AH72" s="11">
        <v>111600</v>
      </c>
    </row>
    <row r="73" spans="19:34" x14ac:dyDescent="0.25">
      <c r="S73" s="12">
        <v>107570</v>
      </c>
      <c r="T73" s="12">
        <v>107600</v>
      </c>
      <c r="U73" s="12">
        <v>107530</v>
      </c>
      <c r="V73" s="12">
        <v>107530</v>
      </c>
      <c r="W73" s="11">
        <v>114850</v>
      </c>
      <c r="X73" s="11">
        <v>114870</v>
      </c>
      <c r="Y73" s="11">
        <v>114790</v>
      </c>
      <c r="Z73" s="11">
        <v>114810</v>
      </c>
      <c r="AA73" s="11">
        <v>109350</v>
      </c>
      <c r="AB73" s="11">
        <v>109390</v>
      </c>
      <c r="AC73" s="11">
        <v>109320</v>
      </c>
      <c r="AD73" s="11">
        <v>109370</v>
      </c>
      <c r="AE73" s="12">
        <v>111600</v>
      </c>
      <c r="AF73" s="12">
        <v>111600</v>
      </c>
      <c r="AG73" s="12">
        <v>111450</v>
      </c>
      <c r="AH73" s="12">
        <v>111460</v>
      </c>
    </row>
    <row r="74" spans="19:34" x14ac:dyDescent="0.25">
      <c r="S74" s="11">
        <v>107530</v>
      </c>
      <c r="T74" s="11">
        <v>107530</v>
      </c>
      <c r="U74" s="11">
        <v>107460</v>
      </c>
      <c r="V74" s="11">
        <v>107470</v>
      </c>
      <c r="W74" s="12">
        <v>114800</v>
      </c>
      <c r="X74" s="12">
        <v>114820</v>
      </c>
      <c r="Y74" s="12">
        <v>114750</v>
      </c>
      <c r="Z74" s="12">
        <v>114770</v>
      </c>
      <c r="AA74" s="12">
        <v>109360</v>
      </c>
      <c r="AB74" s="12">
        <v>109610</v>
      </c>
      <c r="AC74" s="12">
        <v>109330</v>
      </c>
      <c r="AD74" s="12">
        <v>109610</v>
      </c>
      <c r="AE74" s="11">
        <v>111460</v>
      </c>
      <c r="AF74" s="11">
        <v>111540</v>
      </c>
      <c r="AG74" s="11">
        <v>111440</v>
      </c>
      <c r="AH74" s="11">
        <v>111540</v>
      </c>
    </row>
    <row r="75" spans="19:34" x14ac:dyDescent="0.25">
      <c r="S75" s="12">
        <v>107450</v>
      </c>
      <c r="T75" s="12">
        <v>107450</v>
      </c>
      <c r="U75" s="12">
        <v>107420</v>
      </c>
      <c r="V75" s="12">
        <v>107430</v>
      </c>
      <c r="W75" s="11">
        <v>114760</v>
      </c>
      <c r="X75" s="11">
        <v>114790</v>
      </c>
      <c r="Y75" s="11">
        <v>114710</v>
      </c>
      <c r="Z75" s="11">
        <v>114730</v>
      </c>
      <c r="AA75" s="11">
        <v>109600</v>
      </c>
      <c r="AB75" s="11">
        <v>109710</v>
      </c>
      <c r="AC75" s="11">
        <v>109530</v>
      </c>
      <c r="AD75" s="11">
        <v>109570</v>
      </c>
      <c r="AE75" s="12">
        <v>111540</v>
      </c>
      <c r="AF75" s="12">
        <v>111610</v>
      </c>
      <c r="AG75" s="12">
        <v>111510</v>
      </c>
      <c r="AH75" s="12">
        <v>111540</v>
      </c>
    </row>
    <row r="76" spans="19:34" x14ac:dyDescent="0.25">
      <c r="S76" s="11">
        <v>107460</v>
      </c>
      <c r="T76" s="11">
        <v>107470</v>
      </c>
      <c r="U76" s="11">
        <v>107410</v>
      </c>
      <c r="V76" s="11">
        <v>107470</v>
      </c>
      <c r="W76" s="12">
        <v>114730</v>
      </c>
      <c r="X76" s="12">
        <v>114770</v>
      </c>
      <c r="Y76" s="12">
        <v>114700</v>
      </c>
      <c r="Z76" s="12">
        <v>114720</v>
      </c>
      <c r="AA76" s="12">
        <v>109570</v>
      </c>
      <c r="AB76" s="12">
        <v>109620</v>
      </c>
      <c r="AC76" s="12">
        <v>109530</v>
      </c>
      <c r="AD76" s="12">
        <v>109560</v>
      </c>
      <c r="AE76" s="11">
        <v>111530</v>
      </c>
      <c r="AF76" s="11">
        <v>111670</v>
      </c>
      <c r="AG76" s="11">
        <v>111510</v>
      </c>
      <c r="AH76" s="11">
        <v>111600</v>
      </c>
    </row>
    <row r="77" spans="19:34" x14ac:dyDescent="0.25">
      <c r="S77" s="12">
        <v>107430</v>
      </c>
      <c r="T77" s="12">
        <v>107470</v>
      </c>
      <c r="U77" s="12">
        <v>107430</v>
      </c>
      <c r="V77" s="12">
        <v>107440</v>
      </c>
      <c r="W77" s="11">
        <v>114710</v>
      </c>
      <c r="X77" s="11">
        <v>114790</v>
      </c>
      <c r="Y77" s="11">
        <v>114710</v>
      </c>
      <c r="Z77" s="11">
        <v>114770</v>
      </c>
      <c r="AA77" s="11">
        <v>109560</v>
      </c>
      <c r="AB77" s="11">
        <v>109660</v>
      </c>
      <c r="AC77" s="11">
        <v>109560</v>
      </c>
      <c r="AD77" s="11">
        <v>109630</v>
      </c>
      <c r="AE77" s="12">
        <v>111610</v>
      </c>
      <c r="AF77" s="12">
        <v>111620</v>
      </c>
      <c r="AG77" s="12">
        <v>111490</v>
      </c>
      <c r="AH77" s="12">
        <v>111510</v>
      </c>
    </row>
    <row r="78" spans="19:34" x14ac:dyDescent="0.25">
      <c r="S78" s="11">
        <v>107440</v>
      </c>
      <c r="T78" s="11">
        <v>107500</v>
      </c>
      <c r="U78" s="11">
        <v>107440</v>
      </c>
      <c r="V78" s="11">
        <v>107500</v>
      </c>
      <c r="W78" s="12">
        <v>114780</v>
      </c>
      <c r="X78" s="12">
        <v>114790</v>
      </c>
      <c r="Y78" s="12">
        <v>114730</v>
      </c>
      <c r="Z78" s="12">
        <v>114770</v>
      </c>
      <c r="AA78" s="12">
        <v>109620</v>
      </c>
      <c r="AB78" s="12">
        <v>109630</v>
      </c>
      <c r="AC78" s="12">
        <v>109530</v>
      </c>
      <c r="AD78" s="12">
        <v>109630</v>
      </c>
      <c r="AE78" s="11">
        <v>111500</v>
      </c>
      <c r="AF78" s="11">
        <v>111570</v>
      </c>
      <c r="AG78" s="11">
        <v>111470</v>
      </c>
      <c r="AH78" s="11">
        <v>111520</v>
      </c>
    </row>
    <row r="79" spans="19:34" x14ac:dyDescent="0.25">
      <c r="S79" s="12">
        <v>107490</v>
      </c>
      <c r="T79" s="12">
        <v>107490</v>
      </c>
      <c r="U79" s="12">
        <v>107330</v>
      </c>
      <c r="V79" s="12">
        <v>107370</v>
      </c>
      <c r="W79" s="11">
        <v>114780</v>
      </c>
      <c r="X79" s="11">
        <v>114800</v>
      </c>
      <c r="Y79" s="11">
        <v>114710</v>
      </c>
      <c r="Z79" s="11">
        <v>114800</v>
      </c>
      <c r="AA79" s="11">
        <v>109620</v>
      </c>
      <c r="AB79" s="11">
        <v>109650</v>
      </c>
      <c r="AC79" s="11">
        <v>109520</v>
      </c>
      <c r="AD79" s="11">
        <v>109540</v>
      </c>
      <c r="AE79" s="12">
        <v>111510</v>
      </c>
      <c r="AF79" s="12">
        <v>111520</v>
      </c>
      <c r="AG79" s="12">
        <v>111420</v>
      </c>
      <c r="AH79" s="12">
        <v>111480</v>
      </c>
    </row>
    <row r="80" spans="19:34" x14ac:dyDescent="0.25">
      <c r="S80" s="11">
        <v>107380</v>
      </c>
      <c r="T80" s="11">
        <v>107450</v>
      </c>
      <c r="U80" s="11">
        <v>107370</v>
      </c>
      <c r="V80" s="11">
        <v>107450</v>
      </c>
      <c r="W80" s="12">
        <v>114790</v>
      </c>
      <c r="X80" s="12">
        <v>114820</v>
      </c>
      <c r="Y80" s="12">
        <v>114780</v>
      </c>
      <c r="Z80" s="12">
        <v>114820</v>
      </c>
      <c r="AA80" s="12">
        <v>109550</v>
      </c>
      <c r="AB80" s="12">
        <v>109650</v>
      </c>
      <c r="AC80" s="12">
        <v>109520</v>
      </c>
      <c r="AD80" s="12">
        <v>109530</v>
      </c>
      <c r="AE80" s="11">
        <v>111480</v>
      </c>
      <c r="AF80" s="11">
        <v>111550</v>
      </c>
      <c r="AG80" s="11">
        <v>111450</v>
      </c>
      <c r="AH80" s="11">
        <v>111540</v>
      </c>
    </row>
    <row r="81" spans="19:34" x14ac:dyDescent="0.25">
      <c r="S81" s="12">
        <v>107430</v>
      </c>
      <c r="T81" s="12">
        <v>107430</v>
      </c>
      <c r="U81" s="12">
        <v>107400</v>
      </c>
      <c r="V81" s="12">
        <v>107430</v>
      </c>
      <c r="W81" s="11">
        <v>114820</v>
      </c>
      <c r="X81" s="11">
        <v>114830</v>
      </c>
      <c r="Y81" s="11">
        <v>114780</v>
      </c>
      <c r="Z81" s="11">
        <v>114780</v>
      </c>
      <c r="AA81" s="11">
        <v>109540</v>
      </c>
      <c r="AB81" s="11">
        <v>109590</v>
      </c>
      <c r="AC81" s="11">
        <v>109530</v>
      </c>
      <c r="AD81" s="11">
        <v>109570</v>
      </c>
      <c r="AE81" s="12">
        <v>111540</v>
      </c>
      <c r="AF81" s="12">
        <v>111560</v>
      </c>
      <c r="AG81" s="12">
        <v>111440</v>
      </c>
      <c r="AH81" s="12">
        <v>111450</v>
      </c>
    </row>
    <row r="82" spans="19:34" x14ac:dyDescent="0.25">
      <c r="S82" s="11">
        <v>107400</v>
      </c>
      <c r="T82" s="11">
        <v>107580</v>
      </c>
      <c r="U82" s="11">
        <v>107400</v>
      </c>
      <c r="V82" s="11">
        <v>107580</v>
      </c>
      <c r="W82" s="12">
        <v>114780</v>
      </c>
      <c r="X82" s="12">
        <v>114780</v>
      </c>
      <c r="Y82" s="12">
        <v>114660</v>
      </c>
      <c r="Z82" s="12">
        <v>114730</v>
      </c>
      <c r="AA82" s="12">
        <v>109570</v>
      </c>
      <c r="AB82" s="12">
        <v>109600</v>
      </c>
      <c r="AC82" s="12">
        <v>109490</v>
      </c>
      <c r="AD82" s="12">
        <v>109570</v>
      </c>
      <c r="AE82" s="11">
        <v>111450</v>
      </c>
      <c r="AF82" s="11">
        <v>111540</v>
      </c>
      <c r="AG82" s="11">
        <v>111430</v>
      </c>
      <c r="AH82" s="11">
        <v>111540</v>
      </c>
    </row>
    <row r="83" spans="19:34" x14ac:dyDescent="0.25">
      <c r="S83" s="12">
        <v>107580</v>
      </c>
      <c r="T83" s="12">
        <v>107600</v>
      </c>
      <c r="U83" s="12">
        <v>107520</v>
      </c>
      <c r="V83" s="12">
        <v>107540</v>
      </c>
      <c r="W83" s="11">
        <v>114710</v>
      </c>
      <c r="X83" s="11">
        <v>114730</v>
      </c>
      <c r="Y83" s="11">
        <v>114670</v>
      </c>
      <c r="Z83" s="11">
        <v>114690</v>
      </c>
      <c r="AA83" s="11">
        <v>109560</v>
      </c>
      <c r="AB83" s="11">
        <v>109570</v>
      </c>
      <c r="AC83" s="11">
        <v>109350</v>
      </c>
      <c r="AD83" s="11">
        <v>109420</v>
      </c>
      <c r="AE83" s="12">
        <v>111540</v>
      </c>
      <c r="AF83" s="12">
        <v>111580</v>
      </c>
      <c r="AG83" s="12">
        <v>111480</v>
      </c>
      <c r="AH83" s="12">
        <v>111530</v>
      </c>
    </row>
    <row r="84" spans="19:34" x14ac:dyDescent="0.25">
      <c r="S84" s="11">
        <v>107540</v>
      </c>
      <c r="T84" s="11">
        <v>107560</v>
      </c>
      <c r="U84" s="11">
        <v>107520</v>
      </c>
      <c r="V84" s="11">
        <v>107550</v>
      </c>
      <c r="W84" s="12">
        <v>114680</v>
      </c>
      <c r="X84" s="12">
        <v>114730</v>
      </c>
      <c r="Y84" s="12">
        <v>114670</v>
      </c>
      <c r="Z84" s="12">
        <v>114700</v>
      </c>
      <c r="AA84" s="12">
        <v>109430</v>
      </c>
      <c r="AB84" s="12">
        <v>109490</v>
      </c>
      <c r="AC84" s="12">
        <v>109380</v>
      </c>
      <c r="AD84" s="12">
        <v>109450</v>
      </c>
      <c r="AE84" s="11">
        <v>111520</v>
      </c>
      <c r="AF84" s="11">
        <v>111630</v>
      </c>
      <c r="AG84" s="11">
        <v>111510</v>
      </c>
      <c r="AH84" s="11">
        <v>111570</v>
      </c>
    </row>
    <row r="85" spans="19:34" x14ac:dyDescent="0.25">
      <c r="S85" s="12">
        <v>107560</v>
      </c>
      <c r="T85" s="12">
        <v>107630</v>
      </c>
      <c r="U85" s="12">
        <v>107560</v>
      </c>
      <c r="V85" s="12">
        <v>107630</v>
      </c>
      <c r="W85" s="11">
        <v>114710</v>
      </c>
      <c r="X85" s="11">
        <v>114840</v>
      </c>
      <c r="Y85" s="11">
        <v>114700</v>
      </c>
      <c r="Z85" s="11">
        <v>114810</v>
      </c>
      <c r="AA85" s="11">
        <v>109460</v>
      </c>
      <c r="AB85" s="11">
        <v>109460</v>
      </c>
      <c r="AC85" s="11">
        <v>109390</v>
      </c>
      <c r="AD85" s="11">
        <v>109440</v>
      </c>
      <c r="AE85" s="12">
        <v>111560</v>
      </c>
      <c r="AF85" s="12">
        <v>111600</v>
      </c>
      <c r="AG85" s="12">
        <v>111550</v>
      </c>
      <c r="AH85" s="12">
        <v>111570</v>
      </c>
    </row>
    <row r="86" spans="19:34" x14ac:dyDescent="0.25">
      <c r="S86" s="11">
        <v>107630</v>
      </c>
      <c r="T86" s="11">
        <v>107630</v>
      </c>
      <c r="U86" s="11">
        <v>107560</v>
      </c>
      <c r="V86" s="11">
        <v>107580</v>
      </c>
      <c r="W86" s="12">
        <v>114800</v>
      </c>
      <c r="X86" s="12">
        <v>114830</v>
      </c>
      <c r="Y86" s="12">
        <v>114770</v>
      </c>
      <c r="Z86" s="12">
        <v>114800</v>
      </c>
      <c r="AA86" s="12">
        <v>109440</v>
      </c>
      <c r="AB86" s="12">
        <v>109450</v>
      </c>
      <c r="AC86" s="12">
        <v>109400</v>
      </c>
      <c r="AD86" s="12">
        <v>109430</v>
      </c>
      <c r="AE86" s="11">
        <v>111570</v>
      </c>
      <c r="AF86" s="11">
        <v>111600</v>
      </c>
      <c r="AG86" s="11">
        <v>111530</v>
      </c>
      <c r="AH86" s="11">
        <v>111590</v>
      </c>
    </row>
    <row r="87" spans="19:34" x14ac:dyDescent="0.25">
      <c r="S87" s="12">
        <v>107580</v>
      </c>
      <c r="T87" s="12">
        <v>107580</v>
      </c>
      <c r="U87" s="12">
        <v>107580</v>
      </c>
      <c r="V87" s="12">
        <v>107580</v>
      </c>
      <c r="W87" s="11">
        <v>114790</v>
      </c>
      <c r="X87" s="11">
        <v>114870</v>
      </c>
      <c r="Y87" s="11">
        <v>114760</v>
      </c>
      <c r="Z87" s="11">
        <v>114860</v>
      </c>
      <c r="AA87" s="11">
        <v>109430</v>
      </c>
      <c r="AB87" s="11">
        <v>109520</v>
      </c>
      <c r="AC87" s="11">
        <v>109400</v>
      </c>
      <c r="AD87" s="11">
        <v>109500</v>
      </c>
      <c r="AE87" s="12">
        <v>111590</v>
      </c>
      <c r="AF87" s="12">
        <v>111590</v>
      </c>
      <c r="AG87" s="12">
        <v>111530</v>
      </c>
      <c r="AH87" s="12">
        <v>111540</v>
      </c>
    </row>
    <row r="88" spans="19:34" x14ac:dyDescent="0.25">
      <c r="S88" s="11">
        <v>107560</v>
      </c>
      <c r="T88" s="11">
        <v>107560</v>
      </c>
      <c r="U88" s="11">
        <v>107560</v>
      </c>
      <c r="V88" s="11">
        <v>107560</v>
      </c>
      <c r="W88" s="12">
        <v>114870</v>
      </c>
      <c r="X88" s="12">
        <v>114940</v>
      </c>
      <c r="Y88" s="12">
        <v>114830</v>
      </c>
      <c r="Z88" s="12">
        <v>114900</v>
      </c>
      <c r="AA88" s="12">
        <v>109500</v>
      </c>
      <c r="AB88" s="12">
        <v>109560</v>
      </c>
      <c r="AC88" s="12">
        <v>109440</v>
      </c>
      <c r="AD88" s="12">
        <v>109530</v>
      </c>
      <c r="AE88" s="11">
        <v>111540</v>
      </c>
      <c r="AF88" s="11">
        <v>111560</v>
      </c>
      <c r="AG88" s="11">
        <v>111510</v>
      </c>
      <c r="AH88" s="11">
        <v>111530</v>
      </c>
    </row>
    <row r="89" spans="19:34" x14ac:dyDescent="0.25">
      <c r="S89" s="12">
        <v>107500</v>
      </c>
      <c r="T89" s="12">
        <v>107510</v>
      </c>
      <c r="U89" s="12">
        <v>107470</v>
      </c>
      <c r="V89" s="12">
        <v>107510</v>
      </c>
      <c r="W89" s="11">
        <v>114920</v>
      </c>
      <c r="X89" s="11">
        <v>114920</v>
      </c>
      <c r="Y89" s="11">
        <v>114850</v>
      </c>
      <c r="Z89" s="11">
        <v>114870</v>
      </c>
      <c r="AA89" s="11">
        <v>109530</v>
      </c>
      <c r="AB89" s="11">
        <v>109560</v>
      </c>
      <c r="AC89" s="11">
        <v>109460</v>
      </c>
      <c r="AD89" s="11">
        <v>109520</v>
      </c>
      <c r="AE89" s="12">
        <v>111540</v>
      </c>
      <c r="AF89" s="12">
        <v>111540</v>
      </c>
      <c r="AG89" s="12">
        <v>111480</v>
      </c>
      <c r="AH89" s="12">
        <v>111490</v>
      </c>
    </row>
    <row r="90" spans="19:34" x14ac:dyDescent="0.25">
      <c r="S90" s="11">
        <v>107490</v>
      </c>
      <c r="T90" s="11">
        <v>107490</v>
      </c>
      <c r="U90" s="11">
        <v>107420</v>
      </c>
      <c r="V90" s="11">
        <v>107430</v>
      </c>
      <c r="W90" s="12">
        <v>114850</v>
      </c>
      <c r="X90" s="12">
        <v>114920</v>
      </c>
      <c r="Y90" s="12">
        <v>114850</v>
      </c>
      <c r="Z90" s="12">
        <v>114890</v>
      </c>
      <c r="AA90" s="12">
        <v>109520</v>
      </c>
      <c r="AB90" s="12">
        <v>109520</v>
      </c>
      <c r="AC90" s="12">
        <v>109450</v>
      </c>
      <c r="AD90" s="12">
        <v>109480</v>
      </c>
      <c r="AE90" s="11">
        <v>111490</v>
      </c>
      <c r="AF90" s="11">
        <v>111530</v>
      </c>
      <c r="AG90" s="11">
        <v>111470</v>
      </c>
      <c r="AH90" s="11">
        <v>111530</v>
      </c>
    </row>
    <row r="91" spans="19:34" x14ac:dyDescent="0.25">
      <c r="S91" s="12">
        <v>107420</v>
      </c>
      <c r="T91" s="12">
        <v>107450</v>
      </c>
      <c r="U91" s="12">
        <v>107370</v>
      </c>
      <c r="V91" s="12">
        <v>107430</v>
      </c>
      <c r="W91" s="11">
        <v>114880</v>
      </c>
      <c r="X91" s="11">
        <v>114890</v>
      </c>
      <c r="Y91" s="11">
        <v>114850</v>
      </c>
      <c r="Z91" s="11">
        <v>114870</v>
      </c>
      <c r="AA91" s="11">
        <v>109480</v>
      </c>
      <c r="AB91" s="11">
        <v>109500</v>
      </c>
      <c r="AC91" s="11">
        <v>109410</v>
      </c>
      <c r="AD91" s="11">
        <v>109470</v>
      </c>
      <c r="AE91" s="12">
        <v>111530</v>
      </c>
      <c r="AF91" s="12">
        <v>111550</v>
      </c>
      <c r="AG91" s="12">
        <v>111470</v>
      </c>
      <c r="AH91" s="12">
        <v>111490</v>
      </c>
    </row>
    <row r="92" spans="19:34" x14ac:dyDescent="0.25">
      <c r="S92" s="11">
        <v>107430</v>
      </c>
      <c r="T92" s="11">
        <v>107450</v>
      </c>
      <c r="U92" s="11">
        <v>107400</v>
      </c>
      <c r="V92" s="11">
        <v>107440</v>
      </c>
      <c r="W92" s="12">
        <v>114880</v>
      </c>
      <c r="X92" s="12">
        <v>114950</v>
      </c>
      <c r="Y92" s="12">
        <v>114880</v>
      </c>
      <c r="Z92" s="12">
        <v>114930</v>
      </c>
      <c r="AA92" s="12">
        <v>109460</v>
      </c>
      <c r="AB92" s="12">
        <v>109560</v>
      </c>
      <c r="AC92" s="12">
        <v>109430</v>
      </c>
      <c r="AD92" s="12">
        <v>109480</v>
      </c>
      <c r="AE92" s="11">
        <v>111480</v>
      </c>
      <c r="AF92" s="11">
        <v>111500</v>
      </c>
      <c r="AG92" s="11">
        <v>111400</v>
      </c>
      <c r="AH92" s="11">
        <v>111480</v>
      </c>
    </row>
    <row r="93" spans="19:34" x14ac:dyDescent="0.25">
      <c r="S93" s="12">
        <v>107430</v>
      </c>
      <c r="T93" s="12">
        <v>107430</v>
      </c>
      <c r="U93" s="12">
        <v>107350</v>
      </c>
      <c r="V93" s="12">
        <v>107410</v>
      </c>
      <c r="W93" s="11">
        <v>114930</v>
      </c>
      <c r="X93" s="11">
        <v>114940</v>
      </c>
      <c r="Y93" s="11">
        <v>114880</v>
      </c>
      <c r="Z93" s="11">
        <v>114890</v>
      </c>
      <c r="AA93" s="11">
        <v>109470</v>
      </c>
      <c r="AB93" s="11">
        <v>109470</v>
      </c>
      <c r="AC93" s="11">
        <v>109340</v>
      </c>
      <c r="AD93" s="11">
        <v>109380</v>
      </c>
      <c r="AE93" s="12">
        <v>111460</v>
      </c>
      <c r="AF93" s="12">
        <v>111460</v>
      </c>
      <c r="AG93" s="12">
        <v>111410</v>
      </c>
      <c r="AH93" s="12">
        <v>111450</v>
      </c>
    </row>
    <row r="94" spans="19:34" x14ac:dyDescent="0.25">
      <c r="S94" s="11">
        <v>107390</v>
      </c>
      <c r="T94" s="11">
        <v>107390</v>
      </c>
      <c r="U94" s="11">
        <v>107360</v>
      </c>
      <c r="V94" s="11">
        <v>107370</v>
      </c>
      <c r="W94" s="12">
        <v>114890</v>
      </c>
      <c r="X94" s="12">
        <v>114890</v>
      </c>
      <c r="Y94" s="12">
        <v>114820</v>
      </c>
      <c r="Z94" s="12">
        <v>114870</v>
      </c>
      <c r="AA94" s="12">
        <v>109380</v>
      </c>
      <c r="AB94" s="12">
        <v>109420</v>
      </c>
      <c r="AC94" s="12">
        <v>109200</v>
      </c>
      <c r="AD94" s="12">
        <v>109270</v>
      </c>
      <c r="AE94" s="11">
        <v>111450</v>
      </c>
      <c r="AF94" s="11">
        <v>111510</v>
      </c>
      <c r="AG94" s="11">
        <v>111430</v>
      </c>
      <c r="AH94" s="11">
        <v>111480</v>
      </c>
    </row>
    <row r="95" spans="19:34" x14ac:dyDescent="0.25">
      <c r="S95" s="12">
        <v>107330</v>
      </c>
      <c r="T95" s="12">
        <v>107400</v>
      </c>
      <c r="U95" s="12">
        <v>107310</v>
      </c>
      <c r="V95" s="12">
        <v>107400</v>
      </c>
      <c r="W95" s="11">
        <v>114870</v>
      </c>
      <c r="X95" s="11">
        <v>114880</v>
      </c>
      <c r="Y95" s="11">
        <v>114810</v>
      </c>
      <c r="Z95" s="11">
        <v>114810</v>
      </c>
      <c r="AA95" s="11">
        <v>109270</v>
      </c>
      <c r="AB95" s="11">
        <v>109330</v>
      </c>
      <c r="AC95" s="11">
        <v>109250</v>
      </c>
      <c r="AD95" s="11">
        <v>109330</v>
      </c>
      <c r="AE95" s="12">
        <v>111480</v>
      </c>
      <c r="AF95" s="12">
        <v>111530</v>
      </c>
      <c r="AG95" s="12">
        <v>111480</v>
      </c>
      <c r="AH95" s="12">
        <v>111530</v>
      </c>
    </row>
    <row r="96" spans="19:34" x14ac:dyDescent="0.25">
      <c r="S96" s="11">
        <v>107410</v>
      </c>
      <c r="T96" s="11">
        <v>107410</v>
      </c>
      <c r="U96" s="11">
        <v>107410</v>
      </c>
      <c r="V96" s="11">
        <v>107410</v>
      </c>
      <c r="W96" s="12">
        <v>114820</v>
      </c>
      <c r="X96" s="12">
        <v>114850</v>
      </c>
      <c r="Y96" s="12">
        <v>114730</v>
      </c>
      <c r="Z96" s="12">
        <v>114760</v>
      </c>
      <c r="AA96" s="12">
        <v>109330</v>
      </c>
      <c r="AB96" s="12">
        <v>109330</v>
      </c>
      <c r="AC96" s="12">
        <v>109260</v>
      </c>
      <c r="AD96" s="12">
        <v>109270</v>
      </c>
      <c r="AE96" s="11">
        <v>111520</v>
      </c>
      <c r="AF96" s="11">
        <v>111610</v>
      </c>
      <c r="AG96" s="11">
        <v>111520</v>
      </c>
      <c r="AH96" s="11">
        <v>111580</v>
      </c>
    </row>
    <row r="97" spans="19:34" x14ac:dyDescent="0.25">
      <c r="S97" s="12">
        <v>107430</v>
      </c>
      <c r="T97" s="12">
        <v>107430</v>
      </c>
      <c r="U97" s="12">
        <v>107410</v>
      </c>
      <c r="V97" s="12">
        <v>107410</v>
      </c>
      <c r="W97" s="11">
        <v>114750</v>
      </c>
      <c r="X97" s="11">
        <v>114790</v>
      </c>
      <c r="Y97" s="11">
        <v>114720</v>
      </c>
      <c r="Z97" s="11">
        <v>114770</v>
      </c>
      <c r="AA97" s="11">
        <v>109270</v>
      </c>
      <c r="AB97" s="11">
        <v>109370</v>
      </c>
      <c r="AC97" s="11">
        <v>109250</v>
      </c>
      <c r="AD97" s="11">
        <v>109350</v>
      </c>
      <c r="AE97" s="12">
        <v>111570</v>
      </c>
      <c r="AF97" s="12">
        <v>111570</v>
      </c>
      <c r="AG97" s="12">
        <v>111490</v>
      </c>
      <c r="AH97" s="12">
        <v>111550</v>
      </c>
    </row>
    <row r="98" spans="19:34" x14ac:dyDescent="0.25">
      <c r="S98" s="11">
        <v>107340</v>
      </c>
      <c r="T98" s="11">
        <v>107400</v>
      </c>
      <c r="U98" s="11">
        <v>107300</v>
      </c>
      <c r="V98" s="11">
        <v>107400</v>
      </c>
      <c r="W98" s="12">
        <v>114780</v>
      </c>
      <c r="X98" s="12">
        <v>114850</v>
      </c>
      <c r="Y98" s="12">
        <v>114780</v>
      </c>
      <c r="Z98" s="12">
        <v>114840</v>
      </c>
      <c r="AA98" s="12">
        <v>109350</v>
      </c>
      <c r="AB98" s="12">
        <v>109400</v>
      </c>
      <c r="AC98" s="12">
        <v>109320</v>
      </c>
      <c r="AD98" s="12">
        <v>109370</v>
      </c>
      <c r="AE98" s="11">
        <v>111560</v>
      </c>
      <c r="AF98" s="11">
        <v>111580</v>
      </c>
      <c r="AG98" s="11">
        <v>111510</v>
      </c>
      <c r="AH98" s="11">
        <v>111560</v>
      </c>
    </row>
    <row r="99" spans="19:34" x14ac:dyDescent="0.25">
      <c r="S99" s="12">
        <v>107400</v>
      </c>
      <c r="T99" s="12">
        <v>107480</v>
      </c>
      <c r="U99" s="12">
        <v>107400</v>
      </c>
      <c r="V99" s="12">
        <v>107480</v>
      </c>
      <c r="W99" s="11">
        <v>114860</v>
      </c>
      <c r="X99" s="11">
        <v>114880</v>
      </c>
      <c r="Y99" s="11">
        <v>114830</v>
      </c>
      <c r="Z99" s="11">
        <v>114860</v>
      </c>
      <c r="AA99" s="11">
        <v>109370</v>
      </c>
      <c r="AB99" s="11">
        <v>109460</v>
      </c>
      <c r="AC99" s="11">
        <v>109370</v>
      </c>
      <c r="AD99" s="11">
        <v>109440</v>
      </c>
      <c r="AE99" s="12">
        <v>111580</v>
      </c>
      <c r="AF99" s="12">
        <v>111580</v>
      </c>
      <c r="AG99" s="12">
        <v>111530</v>
      </c>
      <c r="AH99" s="12">
        <v>111570</v>
      </c>
    </row>
    <row r="100" spans="19:34" x14ac:dyDescent="0.25">
      <c r="S100" s="11">
        <v>107460</v>
      </c>
      <c r="T100" s="11">
        <v>107460</v>
      </c>
      <c r="U100" s="11">
        <v>107430</v>
      </c>
      <c r="V100" s="11">
        <v>107430</v>
      </c>
      <c r="W100" s="12">
        <v>114850</v>
      </c>
      <c r="X100" s="12">
        <v>114940</v>
      </c>
      <c r="Y100" s="12">
        <v>114850</v>
      </c>
      <c r="Z100" s="12">
        <v>114940</v>
      </c>
      <c r="AA100" s="12">
        <v>109430</v>
      </c>
      <c r="AB100" s="12">
        <v>109440</v>
      </c>
      <c r="AC100" s="12">
        <v>109370</v>
      </c>
      <c r="AD100" s="12">
        <v>109440</v>
      </c>
      <c r="AE100" s="11">
        <v>111570</v>
      </c>
      <c r="AF100" s="11">
        <v>111570</v>
      </c>
      <c r="AG100" s="11">
        <v>111460</v>
      </c>
      <c r="AH100" s="11">
        <v>111500</v>
      </c>
    </row>
    <row r="101" spans="19:34" x14ac:dyDescent="0.25">
      <c r="S101" s="12">
        <v>107450</v>
      </c>
      <c r="T101" s="12">
        <v>107450</v>
      </c>
      <c r="U101" s="12">
        <v>107400</v>
      </c>
      <c r="V101" s="12">
        <v>107400</v>
      </c>
      <c r="W101" s="11">
        <v>114940</v>
      </c>
      <c r="X101" s="11">
        <v>114960</v>
      </c>
      <c r="Y101" s="11">
        <v>114910</v>
      </c>
      <c r="Z101" s="11">
        <v>114930</v>
      </c>
      <c r="AA101" s="11">
        <v>109440</v>
      </c>
      <c r="AB101" s="11">
        <v>109480</v>
      </c>
      <c r="AC101" s="11">
        <v>109390</v>
      </c>
      <c r="AD101" s="11">
        <v>109440</v>
      </c>
      <c r="AE101" s="12">
        <v>111500</v>
      </c>
      <c r="AF101" s="12">
        <v>111500</v>
      </c>
      <c r="AG101" s="12">
        <v>111450</v>
      </c>
      <c r="AH101" s="12">
        <v>111500</v>
      </c>
    </row>
    <row r="102" spans="19:34" x14ac:dyDescent="0.25">
      <c r="S102" s="11">
        <v>107400</v>
      </c>
      <c r="T102" s="11">
        <v>107400</v>
      </c>
      <c r="U102" s="11">
        <v>107400</v>
      </c>
      <c r="V102" s="11">
        <v>107400</v>
      </c>
      <c r="W102" s="12">
        <v>114930</v>
      </c>
      <c r="X102" s="12">
        <v>114980</v>
      </c>
      <c r="Y102" s="12">
        <v>114900</v>
      </c>
      <c r="Z102" s="12">
        <v>114930</v>
      </c>
      <c r="AA102" s="12">
        <v>109450</v>
      </c>
      <c r="AB102" s="12">
        <v>109450</v>
      </c>
      <c r="AC102" s="12">
        <v>109360</v>
      </c>
      <c r="AD102" s="12">
        <v>109380</v>
      </c>
      <c r="AE102" s="11">
        <v>111500</v>
      </c>
      <c r="AF102" s="11">
        <v>111530</v>
      </c>
      <c r="AG102" s="11">
        <v>111460</v>
      </c>
      <c r="AH102" s="11">
        <v>111510</v>
      </c>
    </row>
    <row r="103" spans="19:34" x14ac:dyDescent="0.25">
      <c r="S103" s="12">
        <v>107400</v>
      </c>
      <c r="T103" s="12">
        <v>107400</v>
      </c>
      <c r="U103" s="12">
        <v>107350</v>
      </c>
      <c r="V103" s="12">
        <v>107350</v>
      </c>
      <c r="W103" s="11">
        <v>114940</v>
      </c>
      <c r="X103" s="11">
        <v>114960</v>
      </c>
      <c r="Y103" s="11">
        <v>114910</v>
      </c>
      <c r="Z103" s="11">
        <v>114960</v>
      </c>
      <c r="AA103" s="11">
        <v>109380</v>
      </c>
      <c r="AB103" s="11">
        <v>109440</v>
      </c>
      <c r="AC103" s="11">
        <v>109360</v>
      </c>
      <c r="AD103" s="11">
        <v>109360</v>
      </c>
      <c r="AE103" s="12">
        <v>111520</v>
      </c>
      <c r="AF103" s="12">
        <v>111590</v>
      </c>
      <c r="AG103" s="12">
        <v>111500</v>
      </c>
      <c r="AH103" s="12">
        <v>111580</v>
      </c>
    </row>
    <row r="104" spans="19:34" x14ac:dyDescent="0.25">
      <c r="S104" s="11">
        <v>107360</v>
      </c>
      <c r="T104" s="11">
        <v>107390</v>
      </c>
      <c r="U104" s="11">
        <v>107320</v>
      </c>
      <c r="V104" s="11">
        <v>107390</v>
      </c>
      <c r="W104" s="12">
        <v>114950</v>
      </c>
      <c r="X104" s="12">
        <v>114990</v>
      </c>
      <c r="Y104" s="12">
        <v>114910</v>
      </c>
      <c r="Z104" s="12">
        <v>114990</v>
      </c>
      <c r="AA104" s="12">
        <v>109350</v>
      </c>
      <c r="AB104" s="12">
        <v>109380</v>
      </c>
      <c r="AC104" s="12">
        <v>109320</v>
      </c>
      <c r="AD104" s="12">
        <v>109380</v>
      </c>
      <c r="AE104" s="11">
        <v>111590</v>
      </c>
      <c r="AF104" s="11">
        <v>111590</v>
      </c>
      <c r="AG104" s="11">
        <v>111530</v>
      </c>
      <c r="AH104" s="11">
        <v>111560</v>
      </c>
    </row>
    <row r="105" spans="19:34" x14ac:dyDescent="0.25">
      <c r="S105" s="12">
        <v>107340</v>
      </c>
      <c r="T105" s="12">
        <v>107340</v>
      </c>
      <c r="U105" s="12">
        <v>107340</v>
      </c>
      <c r="V105" s="12">
        <v>107340</v>
      </c>
      <c r="W105" s="11">
        <v>114970</v>
      </c>
      <c r="X105" s="11">
        <v>115000</v>
      </c>
      <c r="Y105" s="11">
        <v>114890</v>
      </c>
      <c r="Z105" s="11">
        <v>114910</v>
      </c>
      <c r="AA105" s="11">
        <v>109380</v>
      </c>
      <c r="AB105" s="11">
        <v>109390</v>
      </c>
      <c r="AC105" s="11">
        <v>109290</v>
      </c>
      <c r="AD105" s="11">
        <v>109360</v>
      </c>
      <c r="AE105" s="12">
        <v>111580</v>
      </c>
      <c r="AF105" s="12">
        <v>111590</v>
      </c>
      <c r="AG105" s="12">
        <v>111530</v>
      </c>
      <c r="AH105" s="12">
        <v>111530</v>
      </c>
    </row>
    <row r="106" spans="19:34" x14ac:dyDescent="0.25">
      <c r="S106" s="11">
        <v>107400</v>
      </c>
      <c r="T106" s="11">
        <v>107410</v>
      </c>
      <c r="U106" s="11">
        <v>107390</v>
      </c>
      <c r="V106" s="11">
        <v>107410</v>
      </c>
      <c r="W106" s="12">
        <v>114930</v>
      </c>
      <c r="X106" s="12">
        <v>114980</v>
      </c>
      <c r="Y106" s="12">
        <v>114910</v>
      </c>
      <c r="Z106" s="12">
        <v>114950</v>
      </c>
      <c r="AA106" s="12">
        <v>109350</v>
      </c>
      <c r="AB106" s="12">
        <v>109380</v>
      </c>
      <c r="AC106" s="12">
        <v>109290</v>
      </c>
      <c r="AD106" s="12">
        <v>109320</v>
      </c>
      <c r="AE106" s="11">
        <v>111540</v>
      </c>
      <c r="AF106" s="11">
        <v>111580</v>
      </c>
      <c r="AG106" s="11">
        <v>111510</v>
      </c>
      <c r="AH106" s="11">
        <v>111550</v>
      </c>
    </row>
    <row r="107" spans="19:34" x14ac:dyDescent="0.25">
      <c r="S107" s="12">
        <v>107380</v>
      </c>
      <c r="T107" s="12">
        <v>107400</v>
      </c>
      <c r="U107" s="12">
        <v>107300</v>
      </c>
      <c r="V107" s="12">
        <v>107300</v>
      </c>
      <c r="W107" s="11">
        <v>114950</v>
      </c>
      <c r="X107" s="11">
        <v>114980</v>
      </c>
      <c r="Y107" s="11">
        <v>114890</v>
      </c>
      <c r="Z107" s="11">
        <v>114950</v>
      </c>
      <c r="AA107" s="11">
        <v>109320</v>
      </c>
      <c r="AB107" s="11">
        <v>109360</v>
      </c>
      <c r="AC107" s="11">
        <v>109210</v>
      </c>
      <c r="AD107" s="11">
        <v>109220</v>
      </c>
      <c r="AE107" s="12">
        <v>111550</v>
      </c>
      <c r="AF107" s="12">
        <v>111560</v>
      </c>
      <c r="AG107" s="12">
        <v>111490</v>
      </c>
      <c r="AH107" s="12">
        <v>111550</v>
      </c>
    </row>
    <row r="108" spans="19:34" x14ac:dyDescent="0.25">
      <c r="S108" s="11">
        <v>107310</v>
      </c>
      <c r="T108" s="11">
        <v>107310</v>
      </c>
      <c r="U108" s="11">
        <v>107190</v>
      </c>
      <c r="V108" s="11">
        <v>107200</v>
      </c>
      <c r="W108" s="12">
        <v>114950</v>
      </c>
      <c r="X108" s="12">
        <v>114960</v>
      </c>
      <c r="Y108" s="12">
        <v>114920</v>
      </c>
      <c r="Z108" s="12">
        <v>114950</v>
      </c>
      <c r="AA108" s="12">
        <v>109220</v>
      </c>
      <c r="AB108" s="12">
        <v>109290</v>
      </c>
      <c r="AC108" s="12">
        <v>109160</v>
      </c>
      <c r="AD108" s="12">
        <v>109280</v>
      </c>
      <c r="AE108" s="11">
        <v>111550</v>
      </c>
      <c r="AF108" s="11">
        <v>111570</v>
      </c>
      <c r="AG108" s="11">
        <v>111520</v>
      </c>
      <c r="AH108" s="11">
        <v>111540</v>
      </c>
    </row>
    <row r="109" spans="19:34" x14ac:dyDescent="0.25">
      <c r="S109" s="12">
        <v>107190</v>
      </c>
      <c r="T109" s="12">
        <v>107260</v>
      </c>
      <c r="U109" s="12">
        <v>107190</v>
      </c>
      <c r="V109" s="12">
        <v>107260</v>
      </c>
      <c r="W109" s="11">
        <v>114950</v>
      </c>
      <c r="X109" s="11">
        <v>114960</v>
      </c>
      <c r="Y109" s="11">
        <v>114900</v>
      </c>
      <c r="Z109" s="11">
        <v>114950</v>
      </c>
      <c r="AA109" s="11">
        <v>109280</v>
      </c>
      <c r="AB109" s="11">
        <v>109290</v>
      </c>
      <c r="AC109" s="11">
        <v>109180</v>
      </c>
      <c r="AD109" s="11">
        <v>109260</v>
      </c>
      <c r="AE109" s="12">
        <v>111540</v>
      </c>
      <c r="AF109" s="12">
        <v>111630</v>
      </c>
      <c r="AG109" s="12">
        <v>111530</v>
      </c>
      <c r="AH109" s="12">
        <v>111620</v>
      </c>
    </row>
    <row r="110" spans="19:34" x14ac:dyDescent="0.25">
      <c r="S110" s="11">
        <v>107280</v>
      </c>
      <c r="T110" s="11">
        <v>107280</v>
      </c>
      <c r="U110" s="11">
        <v>107190</v>
      </c>
      <c r="V110" s="11">
        <v>107200</v>
      </c>
      <c r="W110" s="12">
        <v>114960</v>
      </c>
      <c r="X110" s="12">
        <v>115040</v>
      </c>
      <c r="Y110" s="12">
        <v>114940</v>
      </c>
      <c r="Z110" s="12">
        <v>115000</v>
      </c>
      <c r="AA110" s="12">
        <v>109260</v>
      </c>
      <c r="AB110" s="12">
        <v>109260</v>
      </c>
      <c r="AC110" s="12">
        <v>109150</v>
      </c>
      <c r="AD110" s="12">
        <v>109200</v>
      </c>
      <c r="AE110" s="11">
        <v>111630</v>
      </c>
      <c r="AF110" s="11">
        <v>111630</v>
      </c>
      <c r="AG110" s="11">
        <v>111540</v>
      </c>
      <c r="AH110" s="11">
        <v>111610</v>
      </c>
    </row>
    <row r="111" spans="19:34" x14ac:dyDescent="0.25">
      <c r="S111" s="12">
        <v>107210</v>
      </c>
      <c r="T111" s="12">
        <v>107210</v>
      </c>
      <c r="U111" s="12">
        <v>107100</v>
      </c>
      <c r="V111" s="12">
        <v>107190</v>
      </c>
      <c r="W111" s="11">
        <v>115000</v>
      </c>
      <c r="X111" s="11">
        <v>115110</v>
      </c>
      <c r="Y111" s="11">
        <v>114970</v>
      </c>
      <c r="Z111" s="11">
        <v>115040</v>
      </c>
      <c r="AA111" s="11">
        <v>109190</v>
      </c>
      <c r="AB111" s="11">
        <v>109240</v>
      </c>
      <c r="AC111" s="11">
        <v>109130</v>
      </c>
      <c r="AD111" s="11">
        <v>109230</v>
      </c>
      <c r="AE111" s="12">
        <v>111610</v>
      </c>
      <c r="AF111" s="12">
        <v>111610</v>
      </c>
      <c r="AG111" s="12">
        <v>111530</v>
      </c>
      <c r="AH111" s="12">
        <v>111570</v>
      </c>
    </row>
    <row r="112" spans="19:34" x14ac:dyDescent="0.25">
      <c r="S112" s="11">
        <v>107180</v>
      </c>
      <c r="T112" s="11">
        <v>107180</v>
      </c>
      <c r="U112" s="11">
        <v>107100</v>
      </c>
      <c r="V112" s="11">
        <v>107130</v>
      </c>
      <c r="W112" s="12">
        <v>115030</v>
      </c>
      <c r="X112" s="12">
        <v>115080</v>
      </c>
      <c r="Y112" s="12">
        <v>114970</v>
      </c>
      <c r="Z112" s="12">
        <v>115070</v>
      </c>
      <c r="AA112" s="12">
        <v>109220</v>
      </c>
      <c r="AB112" s="12">
        <v>109230</v>
      </c>
      <c r="AC112" s="12">
        <v>109060</v>
      </c>
      <c r="AD112" s="12">
        <v>109080</v>
      </c>
      <c r="AE112" s="11">
        <v>111570</v>
      </c>
      <c r="AF112" s="11">
        <v>111570</v>
      </c>
      <c r="AG112" s="11">
        <v>111510</v>
      </c>
      <c r="AH112" s="11">
        <v>111550</v>
      </c>
    </row>
    <row r="113" spans="19:34" x14ac:dyDescent="0.25">
      <c r="S113" s="12">
        <v>107160</v>
      </c>
      <c r="T113" s="12">
        <v>107160</v>
      </c>
      <c r="U113" s="12">
        <v>107130</v>
      </c>
      <c r="V113" s="12">
        <v>107130</v>
      </c>
      <c r="W113" s="11">
        <v>115070</v>
      </c>
      <c r="X113" s="11">
        <v>115100</v>
      </c>
      <c r="Y113" s="11">
        <v>115010</v>
      </c>
      <c r="Z113" s="11">
        <v>115020</v>
      </c>
      <c r="AA113" s="11">
        <v>109060</v>
      </c>
      <c r="AB113" s="11">
        <v>109130</v>
      </c>
      <c r="AC113" s="11">
        <v>109020</v>
      </c>
      <c r="AD113" s="11">
        <v>109030</v>
      </c>
      <c r="AE113" s="12">
        <v>111560</v>
      </c>
      <c r="AF113" s="12">
        <v>111560</v>
      </c>
      <c r="AG113" s="12">
        <v>111460</v>
      </c>
      <c r="AH113" s="12">
        <v>111460</v>
      </c>
    </row>
    <row r="114" spans="19:34" x14ac:dyDescent="0.25">
      <c r="S114" s="11">
        <v>107090</v>
      </c>
      <c r="T114" s="11">
        <v>107090</v>
      </c>
      <c r="U114" s="11">
        <v>107000</v>
      </c>
      <c r="V114" s="11">
        <v>107000</v>
      </c>
      <c r="W114" s="12">
        <v>115020</v>
      </c>
      <c r="X114" s="12">
        <v>115100</v>
      </c>
      <c r="Y114" s="12">
        <v>115020</v>
      </c>
      <c r="Z114" s="12">
        <v>115070</v>
      </c>
      <c r="AA114" s="12">
        <v>109030</v>
      </c>
      <c r="AB114" s="12">
        <v>109130</v>
      </c>
      <c r="AC114" s="12">
        <v>109000</v>
      </c>
      <c r="AD114" s="12">
        <v>109060</v>
      </c>
      <c r="AE114" s="11">
        <v>111470</v>
      </c>
      <c r="AF114" s="11">
        <v>111500</v>
      </c>
      <c r="AG114" s="11">
        <v>111430</v>
      </c>
      <c r="AH114" s="11">
        <v>111440</v>
      </c>
    </row>
    <row r="115" spans="19:34" x14ac:dyDescent="0.25">
      <c r="S115" s="12">
        <v>106990</v>
      </c>
      <c r="T115" s="12">
        <v>107050</v>
      </c>
      <c r="U115" s="12">
        <v>106960</v>
      </c>
      <c r="V115" s="12">
        <v>107050</v>
      </c>
      <c r="W115" s="11">
        <v>115070</v>
      </c>
      <c r="X115" s="11">
        <v>115260</v>
      </c>
      <c r="Y115" s="11">
        <v>115070</v>
      </c>
      <c r="Z115" s="11">
        <v>115080</v>
      </c>
      <c r="AA115" s="11">
        <v>109060</v>
      </c>
      <c r="AB115" s="11">
        <v>109130</v>
      </c>
      <c r="AC115" s="11">
        <v>109030</v>
      </c>
      <c r="AD115" s="11">
        <v>109070</v>
      </c>
      <c r="AE115" s="12">
        <v>111450</v>
      </c>
      <c r="AF115" s="12">
        <v>111490</v>
      </c>
      <c r="AG115" s="12">
        <v>111340</v>
      </c>
      <c r="AH115" s="12">
        <v>111480</v>
      </c>
    </row>
    <row r="116" spans="19:34" x14ac:dyDescent="0.25">
      <c r="S116" s="11">
        <v>107080</v>
      </c>
      <c r="T116" s="11">
        <v>107110</v>
      </c>
      <c r="U116" s="11">
        <v>107080</v>
      </c>
      <c r="V116" s="11">
        <v>107100</v>
      </c>
      <c r="W116" s="12">
        <v>115070</v>
      </c>
      <c r="X116" s="12">
        <v>115110</v>
      </c>
      <c r="Y116" s="12">
        <v>115040</v>
      </c>
      <c r="Z116" s="12">
        <v>115050</v>
      </c>
      <c r="AA116" s="12">
        <v>109080</v>
      </c>
      <c r="AB116" s="12">
        <v>109090</v>
      </c>
      <c r="AC116" s="12">
        <v>109030</v>
      </c>
      <c r="AD116" s="12">
        <v>109090</v>
      </c>
      <c r="AE116" s="11">
        <v>111490</v>
      </c>
      <c r="AF116" s="11">
        <v>111540</v>
      </c>
      <c r="AG116" s="11">
        <v>111480</v>
      </c>
      <c r="AH116" s="11">
        <v>111520</v>
      </c>
    </row>
    <row r="117" spans="19:34" x14ac:dyDescent="0.25">
      <c r="S117" s="12">
        <v>107070</v>
      </c>
      <c r="T117" s="12">
        <v>107070</v>
      </c>
      <c r="U117" s="12">
        <v>106990</v>
      </c>
      <c r="V117" s="12">
        <v>107010</v>
      </c>
      <c r="W117" s="11">
        <v>115060</v>
      </c>
      <c r="X117" s="11">
        <v>115060</v>
      </c>
      <c r="Y117" s="11">
        <v>114990</v>
      </c>
      <c r="Z117" s="11">
        <v>115000</v>
      </c>
      <c r="AA117" s="11">
        <v>109070</v>
      </c>
      <c r="AB117" s="11">
        <v>109120</v>
      </c>
      <c r="AC117" s="11">
        <v>109050</v>
      </c>
      <c r="AD117" s="11">
        <v>109090</v>
      </c>
      <c r="AE117" s="12">
        <v>111540</v>
      </c>
      <c r="AF117" s="12">
        <v>111540</v>
      </c>
      <c r="AG117" s="12">
        <v>111400</v>
      </c>
      <c r="AH117" s="12">
        <v>111440</v>
      </c>
    </row>
    <row r="118" spans="19:34" x14ac:dyDescent="0.25">
      <c r="S118" s="11">
        <v>107000</v>
      </c>
      <c r="T118" s="11">
        <v>107020</v>
      </c>
      <c r="U118" s="11">
        <v>106990</v>
      </c>
      <c r="V118" s="11">
        <v>107000</v>
      </c>
      <c r="W118" s="12">
        <v>115010</v>
      </c>
      <c r="X118" s="12">
        <v>115030</v>
      </c>
      <c r="Y118" s="12">
        <v>114880</v>
      </c>
      <c r="Z118" s="12">
        <v>114900</v>
      </c>
      <c r="AA118" s="12">
        <v>109090</v>
      </c>
      <c r="AB118" s="12">
        <v>109110</v>
      </c>
      <c r="AC118" s="12">
        <v>109010</v>
      </c>
      <c r="AD118" s="12">
        <v>109020</v>
      </c>
      <c r="AE118" s="11">
        <v>111440</v>
      </c>
      <c r="AF118" s="11">
        <v>111440</v>
      </c>
      <c r="AG118" s="11">
        <v>111350</v>
      </c>
      <c r="AH118" s="11">
        <v>111400</v>
      </c>
    </row>
    <row r="119" spans="19:34" x14ac:dyDescent="0.25">
      <c r="S119" s="12">
        <v>106980</v>
      </c>
      <c r="T119" s="12">
        <v>106980</v>
      </c>
      <c r="U119" s="12">
        <v>106910</v>
      </c>
      <c r="V119" s="12">
        <v>106940</v>
      </c>
      <c r="W119" s="11">
        <v>114920</v>
      </c>
      <c r="X119" s="11">
        <v>114950</v>
      </c>
      <c r="Y119" s="11">
        <v>114900</v>
      </c>
      <c r="Z119" s="11">
        <v>114920</v>
      </c>
      <c r="AA119" s="11">
        <v>109030</v>
      </c>
      <c r="AB119" s="11">
        <v>109040</v>
      </c>
      <c r="AC119" s="11">
        <v>108970</v>
      </c>
      <c r="AD119" s="11">
        <v>109030</v>
      </c>
      <c r="AE119" s="12">
        <v>111400</v>
      </c>
      <c r="AF119" s="12">
        <v>111480</v>
      </c>
      <c r="AG119" s="12">
        <v>111380</v>
      </c>
      <c r="AH119" s="12">
        <v>111450</v>
      </c>
    </row>
    <row r="120" spans="19:34" x14ac:dyDescent="0.25">
      <c r="S120" s="11">
        <v>106980</v>
      </c>
      <c r="T120" s="11">
        <v>107030</v>
      </c>
      <c r="U120" s="11">
        <v>106980</v>
      </c>
      <c r="V120" s="11">
        <v>107010</v>
      </c>
      <c r="W120" s="12">
        <v>114910</v>
      </c>
      <c r="X120" s="12">
        <v>114970</v>
      </c>
      <c r="Y120" s="12">
        <v>114900</v>
      </c>
      <c r="Z120" s="12">
        <v>114970</v>
      </c>
      <c r="AA120" s="12">
        <v>109020</v>
      </c>
      <c r="AB120" s="12">
        <v>109030</v>
      </c>
      <c r="AC120" s="12">
        <v>108830</v>
      </c>
      <c r="AD120" s="12">
        <v>108840</v>
      </c>
      <c r="AE120" s="11">
        <v>111460</v>
      </c>
      <c r="AF120" s="11">
        <v>111480</v>
      </c>
      <c r="AG120" s="11">
        <v>111340</v>
      </c>
      <c r="AH120" s="11">
        <v>111340</v>
      </c>
    </row>
    <row r="121" spans="19:34" x14ac:dyDescent="0.25">
      <c r="S121" s="12">
        <v>106990</v>
      </c>
      <c r="T121" s="12">
        <v>106990</v>
      </c>
      <c r="U121" s="12">
        <v>106930</v>
      </c>
      <c r="V121" s="12">
        <v>106930</v>
      </c>
      <c r="W121" s="11">
        <v>114960</v>
      </c>
      <c r="X121" s="11">
        <v>115080</v>
      </c>
      <c r="Y121" s="11">
        <v>114940</v>
      </c>
      <c r="Z121" s="11">
        <v>115020</v>
      </c>
      <c r="AA121" s="11">
        <v>108850</v>
      </c>
      <c r="AB121" s="11">
        <v>108870</v>
      </c>
      <c r="AC121" s="11">
        <v>108680</v>
      </c>
      <c r="AD121" s="11">
        <v>108700</v>
      </c>
      <c r="AE121" s="12">
        <v>111350</v>
      </c>
      <c r="AF121" s="12">
        <v>111350</v>
      </c>
      <c r="AG121" s="12">
        <v>111220</v>
      </c>
      <c r="AH121" s="12">
        <v>111230</v>
      </c>
    </row>
    <row r="122" spans="19:34" x14ac:dyDescent="0.25">
      <c r="S122" s="11">
        <v>106940</v>
      </c>
      <c r="T122" s="11">
        <v>106940</v>
      </c>
      <c r="U122" s="11">
        <v>106930</v>
      </c>
      <c r="V122" s="11">
        <v>106940</v>
      </c>
      <c r="W122" s="12">
        <v>115030</v>
      </c>
      <c r="X122" s="12">
        <v>115080</v>
      </c>
      <c r="Y122" s="12">
        <v>115010</v>
      </c>
      <c r="Z122" s="12">
        <v>115020</v>
      </c>
      <c r="AA122" s="12">
        <v>108700</v>
      </c>
      <c r="AB122" s="12">
        <v>108730</v>
      </c>
      <c r="AC122" s="12">
        <v>108620</v>
      </c>
      <c r="AD122" s="12">
        <v>108680</v>
      </c>
      <c r="AE122" s="11">
        <v>111230</v>
      </c>
      <c r="AF122" s="11">
        <v>111300</v>
      </c>
      <c r="AG122" s="11">
        <v>111190</v>
      </c>
      <c r="AH122" s="11">
        <v>111290</v>
      </c>
    </row>
    <row r="123" spans="19:34" x14ac:dyDescent="0.25">
      <c r="S123" s="12">
        <v>106960</v>
      </c>
      <c r="T123" s="12">
        <v>107000</v>
      </c>
      <c r="U123" s="12">
        <v>106960</v>
      </c>
      <c r="V123" s="12">
        <v>107000</v>
      </c>
      <c r="W123" s="11">
        <v>115040</v>
      </c>
      <c r="X123" s="11">
        <v>115040</v>
      </c>
      <c r="Y123" s="11">
        <v>114910</v>
      </c>
      <c r="Z123" s="11">
        <v>114930</v>
      </c>
      <c r="AA123" s="11">
        <v>108680</v>
      </c>
      <c r="AB123" s="11">
        <v>108750</v>
      </c>
      <c r="AC123" s="11">
        <v>108630</v>
      </c>
      <c r="AD123" s="11">
        <v>108650</v>
      </c>
      <c r="AE123" s="12">
        <v>111280</v>
      </c>
      <c r="AF123" s="12">
        <v>111350</v>
      </c>
      <c r="AG123" s="12">
        <v>111280</v>
      </c>
      <c r="AH123" s="12">
        <v>111350</v>
      </c>
    </row>
    <row r="124" spans="19:34" x14ac:dyDescent="0.25">
      <c r="S124" s="11">
        <v>107030</v>
      </c>
      <c r="T124" s="11">
        <v>107050</v>
      </c>
      <c r="U124" s="11">
        <v>107000</v>
      </c>
      <c r="V124" s="11">
        <v>107000</v>
      </c>
      <c r="W124" s="12">
        <v>114930</v>
      </c>
      <c r="X124" s="12">
        <v>114930</v>
      </c>
      <c r="Y124" s="12">
        <v>114830</v>
      </c>
      <c r="Z124" s="12">
        <v>114860</v>
      </c>
      <c r="AA124" s="12">
        <v>108650</v>
      </c>
      <c r="AB124" s="12">
        <v>108750</v>
      </c>
      <c r="AC124" s="12">
        <v>108640</v>
      </c>
      <c r="AD124" s="12">
        <v>108750</v>
      </c>
      <c r="AE124" s="11">
        <v>111340</v>
      </c>
      <c r="AF124" s="11">
        <v>111440</v>
      </c>
      <c r="AG124" s="11">
        <v>111320</v>
      </c>
      <c r="AH124" s="11">
        <v>111400</v>
      </c>
    </row>
    <row r="125" spans="19:34" x14ac:dyDescent="0.25">
      <c r="S125" s="12">
        <v>106970</v>
      </c>
      <c r="T125" s="12">
        <v>107000</v>
      </c>
      <c r="U125" s="12">
        <v>106970</v>
      </c>
      <c r="V125" s="12">
        <v>107000</v>
      </c>
      <c r="W125" s="11">
        <v>114860</v>
      </c>
      <c r="X125" s="11">
        <v>114900</v>
      </c>
      <c r="Y125" s="11">
        <v>114820</v>
      </c>
      <c r="Z125" s="11">
        <v>114870</v>
      </c>
      <c r="AA125" s="11">
        <v>108750</v>
      </c>
      <c r="AB125" s="11">
        <v>108760</v>
      </c>
      <c r="AC125" s="11">
        <v>108660</v>
      </c>
      <c r="AD125" s="11">
        <v>108700</v>
      </c>
      <c r="AE125" s="12">
        <v>111410</v>
      </c>
      <c r="AF125" s="12">
        <v>111430</v>
      </c>
      <c r="AG125" s="12">
        <v>111330</v>
      </c>
      <c r="AH125" s="12">
        <v>111350</v>
      </c>
    </row>
    <row r="126" spans="19:34" x14ac:dyDescent="0.25">
      <c r="S126" s="11">
        <v>106950</v>
      </c>
      <c r="T126" s="11">
        <v>106990</v>
      </c>
      <c r="U126" s="11">
        <v>106940</v>
      </c>
      <c r="V126" s="11">
        <v>106960</v>
      </c>
      <c r="W126" s="12">
        <v>114860</v>
      </c>
      <c r="X126" s="12">
        <v>114940</v>
      </c>
      <c r="Y126" s="12">
        <v>114850</v>
      </c>
      <c r="Z126" s="12">
        <v>114850</v>
      </c>
      <c r="AA126" s="12">
        <v>108700</v>
      </c>
      <c r="AB126" s="12">
        <v>108730</v>
      </c>
      <c r="AC126" s="12">
        <v>108650</v>
      </c>
      <c r="AD126" s="12">
        <v>108720</v>
      </c>
      <c r="AE126" s="11">
        <v>111360</v>
      </c>
      <c r="AF126" s="11">
        <v>111370</v>
      </c>
      <c r="AG126" s="11">
        <v>111310</v>
      </c>
      <c r="AH126" s="11">
        <v>111370</v>
      </c>
    </row>
    <row r="127" spans="19:34" x14ac:dyDescent="0.25">
      <c r="S127" s="12">
        <v>107020</v>
      </c>
      <c r="T127" s="12">
        <v>107030</v>
      </c>
      <c r="U127" s="12">
        <v>106960</v>
      </c>
      <c r="V127" s="12">
        <v>106980</v>
      </c>
      <c r="W127" s="11">
        <v>114860</v>
      </c>
      <c r="X127" s="11">
        <v>114860</v>
      </c>
      <c r="Y127" s="11">
        <v>114800</v>
      </c>
      <c r="Z127" s="11">
        <v>114830</v>
      </c>
      <c r="AA127" s="11">
        <v>108720</v>
      </c>
      <c r="AB127" s="11">
        <v>108810</v>
      </c>
      <c r="AC127" s="11">
        <v>108700</v>
      </c>
      <c r="AD127" s="11">
        <v>108740</v>
      </c>
      <c r="AE127" s="12">
        <v>111360</v>
      </c>
      <c r="AF127" s="12">
        <v>111420</v>
      </c>
      <c r="AG127" s="12">
        <v>111350</v>
      </c>
      <c r="AH127" s="12">
        <v>111380</v>
      </c>
    </row>
    <row r="128" spans="19:34" x14ac:dyDescent="0.25">
      <c r="S128" s="11">
        <v>107030</v>
      </c>
      <c r="T128" s="11">
        <v>107030</v>
      </c>
      <c r="U128" s="11">
        <v>107030</v>
      </c>
      <c r="V128" s="11">
        <v>107030</v>
      </c>
      <c r="W128" s="12">
        <v>114850</v>
      </c>
      <c r="X128" s="12">
        <v>114900</v>
      </c>
      <c r="Y128" s="12">
        <v>114780</v>
      </c>
      <c r="Z128" s="12">
        <v>114890</v>
      </c>
      <c r="AA128" s="12">
        <v>108750</v>
      </c>
      <c r="AB128" s="12">
        <v>108770</v>
      </c>
      <c r="AC128" s="12">
        <v>108670</v>
      </c>
      <c r="AD128" s="12">
        <v>108670</v>
      </c>
      <c r="AE128" s="11">
        <v>111370</v>
      </c>
      <c r="AF128" s="11">
        <v>111390</v>
      </c>
      <c r="AG128" s="11">
        <v>111310</v>
      </c>
      <c r="AH128" s="11">
        <v>111330</v>
      </c>
    </row>
    <row r="129" spans="19:34" x14ac:dyDescent="0.25">
      <c r="S129" s="12">
        <v>107060</v>
      </c>
      <c r="T129" s="12">
        <v>107140</v>
      </c>
      <c r="U129" s="12">
        <v>107050</v>
      </c>
      <c r="V129" s="12">
        <v>107140</v>
      </c>
      <c r="W129" s="11">
        <v>114880</v>
      </c>
      <c r="X129" s="11">
        <v>114890</v>
      </c>
      <c r="Y129" s="11">
        <v>114770</v>
      </c>
      <c r="Z129" s="11">
        <v>114860</v>
      </c>
      <c r="AA129" s="11">
        <v>108680</v>
      </c>
      <c r="AB129" s="11">
        <v>108680</v>
      </c>
      <c r="AC129" s="11">
        <v>108430</v>
      </c>
      <c r="AD129" s="11">
        <v>108530</v>
      </c>
      <c r="AE129" s="12">
        <v>111340</v>
      </c>
      <c r="AF129" s="12">
        <v>111400</v>
      </c>
      <c r="AG129" s="12">
        <v>111320</v>
      </c>
      <c r="AH129" s="12">
        <v>111380</v>
      </c>
    </row>
    <row r="130" spans="19:34" x14ac:dyDescent="0.25">
      <c r="S130" s="11">
        <v>107120</v>
      </c>
      <c r="T130" s="11">
        <v>107170</v>
      </c>
      <c r="U130" s="11">
        <v>107100</v>
      </c>
      <c r="V130" s="11">
        <v>107160</v>
      </c>
      <c r="W130" s="12">
        <v>114860</v>
      </c>
      <c r="X130" s="12">
        <v>114910</v>
      </c>
      <c r="Y130" s="12">
        <v>114850</v>
      </c>
      <c r="Z130" s="12">
        <v>114900</v>
      </c>
      <c r="AA130" s="12">
        <v>108520</v>
      </c>
      <c r="AB130" s="12">
        <v>108630</v>
      </c>
      <c r="AC130" s="12">
        <v>108500</v>
      </c>
      <c r="AD130" s="12">
        <v>108590</v>
      </c>
      <c r="AE130" s="11">
        <v>111380</v>
      </c>
      <c r="AF130" s="11">
        <v>111430</v>
      </c>
      <c r="AG130" s="11">
        <v>111350</v>
      </c>
      <c r="AH130" s="11">
        <v>111430</v>
      </c>
    </row>
    <row r="131" spans="19:34" x14ac:dyDescent="0.25">
      <c r="S131" s="12">
        <v>107090</v>
      </c>
      <c r="T131" s="12">
        <v>107140</v>
      </c>
      <c r="U131" s="12">
        <v>107080</v>
      </c>
      <c r="V131" s="12">
        <v>107140</v>
      </c>
      <c r="W131" s="11">
        <v>114890</v>
      </c>
      <c r="X131" s="11">
        <v>114890</v>
      </c>
      <c r="Y131" s="11">
        <v>114830</v>
      </c>
      <c r="Z131" s="11">
        <v>114830</v>
      </c>
      <c r="AA131" s="11">
        <v>108590</v>
      </c>
      <c r="AB131" s="11">
        <v>108650</v>
      </c>
      <c r="AC131" s="11">
        <v>108560</v>
      </c>
      <c r="AD131" s="11">
        <v>108620</v>
      </c>
      <c r="AE131" s="12">
        <v>111430</v>
      </c>
      <c r="AF131" s="12">
        <v>111500</v>
      </c>
      <c r="AG131" s="12">
        <v>111420</v>
      </c>
      <c r="AH131" s="12">
        <v>111450</v>
      </c>
    </row>
    <row r="132" spans="19:34" x14ac:dyDescent="0.25">
      <c r="S132" s="11">
        <v>107090</v>
      </c>
      <c r="T132" s="11">
        <v>107090</v>
      </c>
      <c r="U132" s="11">
        <v>107090</v>
      </c>
      <c r="V132" s="11">
        <v>107090</v>
      </c>
      <c r="W132" s="12">
        <v>114840</v>
      </c>
      <c r="X132" s="12">
        <v>114890</v>
      </c>
      <c r="Y132" s="12">
        <v>114830</v>
      </c>
      <c r="Z132" s="12">
        <v>114870</v>
      </c>
      <c r="AA132" s="12">
        <v>108630</v>
      </c>
      <c r="AB132" s="12">
        <v>108660</v>
      </c>
      <c r="AC132" s="12">
        <v>108550</v>
      </c>
      <c r="AD132" s="12">
        <v>108630</v>
      </c>
      <c r="AE132" s="11">
        <v>111460</v>
      </c>
      <c r="AF132" s="11">
        <v>111470</v>
      </c>
      <c r="AG132" s="11">
        <v>111420</v>
      </c>
      <c r="AH132" s="11">
        <v>111430</v>
      </c>
    </row>
    <row r="133" spans="19:34" x14ac:dyDescent="0.25">
      <c r="S133" s="12">
        <v>107120</v>
      </c>
      <c r="T133" s="12">
        <v>107120</v>
      </c>
      <c r="U133" s="12">
        <v>107060</v>
      </c>
      <c r="V133" s="12">
        <v>107060</v>
      </c>
      <c r="W133" s="11">
        <v>114890</v>
      </c>
      <c r="X133" s="11">
        <v>114930</v>
      </c>
      <c r="Y133" s="11">
        <v>114840</v>
      </c>
      <c r="Z133" s="11">
        <v>114910</v>
      </c>
      <c r="AA133" s="11">
        <v>108620</v>
      </c>
      <c r="AB133" s="11">
        <v>108670</v>
      </c>
      <c r="AC133" s="11">
        <v>108580</v>
      </c>
      <c r="AD133" s="11">
        <v>108640</v>
      </c>
      <c r="AE133" s="12">
        <v>111450</v>
      </c>
      <c r="AF133" s="12">
        <v>111470</v>
      </c>
      <c r="AG133" s="12">
        <v>111440</v>
      </c>
      <c r="AH133" s="12">
        <v>111460</v>
      </c>
    </row>
    <row r="134" spans="19:34" x14ac:dyDescent="0.25">
      <c r="S134" s="11">
        <v>107080</v>
      </c>
      <c r="T134" s="11">
        <v>107080</v>
      </c>
      <c r="U134" s="11">
        <v>107060</v>
      </c>
      <c r="V134" s="11">
        <v>107060</v>
      </c>
      <c r="W134" s="12">
        <v>114920</v>
      </c>
      <c r="X134" s="12">
        <v>114940</v>
      </c>
      <c r="Y134" s="12">
        <v>114870</v>
      </c>
      <c r="Z134" s="12">
        <v>114870</v>
      </c>
      <c r="AA134" s="12">
        <v>108640</v>
      </c>
      <c r="AB134" s="12">
        <v>108890</v>
      </c>
      <c r="AC134" s="12">
        <v>108610</v>
      </c>
      <c r="AD134" s="12">
        <v>108830</v>
      </c>
      <c r="AE134" s="11">
        <v>111460</v>
      </c>
      <c r="AF134" s="11">
        <v>111490</v>
      </c>
      <c r="AG134" s="11">
        <v>111410</v>
      </c>
      <c r="AH134" s="11">
        <v>111420</v>
      </c>
    </row>
    <row r="135" spans="19:34" x14ac:dyDescent="0.25">
      <c r="S135" s="12">
        <v>107140</v>
      </c>
      <c r="T135" s="12">
        <v>107190</v>
      </c>
      <c r="U135" s="12">
        <v>107140</v>
      </c>
      <c r="V135" s="12">
        <v>107190</v>
      </c>
      <c r="W135" s="11">
        <v>114870</v>
      </c>
      <c r="X135" s="11">
        <v>114890</v>
      </c>
      <c r="Y135" s="11">
        <v>114840</v>
      </c>
      <c r="Z135" s="11">
        <v>114840</v>
      </c>
      <c r="AA135" s="11">
        <v>108830</v>
      </c>
      <c r="AB135" s="11">
        <v>108880</v>
      </c>
      <c r="AC135" s="11">
        <v>108810</v>
      </c>
      <c r="AD135" s="11">
        <v>108860</v>
      </c>
      <c r="AE135" s="12">
        <v>111410</v>
      </c>
      <c r="AF135" s="12">
        <v>111490</v>
      </c>
      <c r="AG135" s="12">
        <v>111410</v>
      </c>
      <c r="AH135" s="12">
        <v>111420</v>
      </c>
    </row>
    <row r="136" spans="19:34" x14ac:dyDescent="0.25">
      <c r="S136" s="11">
        <v>107200</v>
      </c>
      <c r="T136" s="11">
        <v>107210</v>
      </c>
      <c r="U136" s="11">
        <v>107130</v>
      </c>
      <c r="V136" s="11">
        <v>107130</v>
      </c>
      <c r="W136" s="12">
        <v>114850</v>
      </c>
      <c r="X136" s="12">
        <v>114920</v>
      </c>
      <c r="Y136" s="12">
        <v>114850</v>
      </c>
      <c r="Z136" s="12">
        <v>114910</v>
      </c>
      <c r="AA136" s="12">
        <v>108860</v>
      </c>
      <c r="AB136" s="12">
        <v>109020</v>
      </c>
      <c r="AC136" s="12">
        <v>108830</v>
      </c>
      <c r="AD136" s="12">
        <v>109000</v>
      </c>
      <c r="AE136" s="11">
        <v>111430</v>
      </c>
      <c r="AF136" s="11">
        <v>111510</v>
      </c>
      <c r="AG136" s="11">
        <v>111430</v>
      </c>
      <c r="AH136" s="11">
        <v>111490</v>
      </c>
    </row>
    <row r="137" spans="19:34" x14ac:dyDescent="0.25">
      <c r="S137" s="12">
        <v>107150</v>
      </c>
      <c r="T137" s="12">
        <v>107150</v>
      </c>
      <c r="U137" s="12">
        <v>107150</v>
      </c>
      <c r="V137" s="12">
        <v>107150</v>
      </c>
      <c r="W137" s="11">
        <v>114910</v>
      </c>
      <c r="X137" s="11">
        <v>114990</v>
      </c>
      <c r="Y137" s="11">
        <v>114910</v>
      </c>
      <c r="Z137" s="11">
        <v>114950</v>
      </c>
      <c r="AA137" s="11">
        <v>109000</v>
      </c>
      <c r="AB137" s="11">
        <v>109010</v>
      </c>
      <c r="AC137" s="11">
        <v>108840</v>
      </c>
      <c r="AD137" s="11">
        <v>108850</v>
      </c>
      <c r="AE137" s="12">
        <v>111490</v>
      </c>
      <c r="AF137" s="12">
        <v>111530</v>
      </c>
      <c r="AG137" s="12">
        <v>111440</v>
      </c>
      <c r="AH137" s="12">
        <v>111450</v>
      </c>
    </row>
    <row r="138" spans="19:34" x14ac:dyDescent="0.25">
      <c r="S138" s="11">
        <v>107130</v>
      </c>
      <c r="T138" s="11">
        <v>107140</v>
      </c>
      <c r="U138" s="11">
        <v>107130</v>
      </c>
      <c r="V138" s="11">
        <v>107140</v>
      </c>
      <c r="W138" s="12">
        <v>114960</v>
      </c>
      <c r="X138" s="12">
        <v>115000</v>
      </c>
      <c r="Y138" s="12">
        <v>114950</v>
      </c>
      <c r="Z138" s="12">
        <v>114990</v>
      </c>
      <c r="AA138" s="12">
        <v>108850</v>
      </c>
      <c r="AB138" s="12">
        <v>108880</v>
      </c>
      <c r="AC138" s="12">
        <v>108830</v>
      </c>
      <c r="AD138" s="12">
        <v>108840</v>
      </c>
      <c r="AE138" s="11">
        <v>111460</v>
      </c>
      <c r="AF138" s="11">
        <v>111520</v>
      </c>
      <c r="AG138" s="11">
        <v>111450</v>
      </c>
      <c r="AH138" s="11">
        <v>111490</v>
      </c>
    </row>
    <row r="139" spans="19:34" x14ac:dyDescent="0.25">
      <c r="S139" s="12">
        <v>107150</v>
      </c>
      <c r="T139" s="12">
        <v>107150</v>
      </c>
      <c r="U139" s="12">
        <v>107140</v>
      </c>
      <c r="V139" s="12">
        <v>107140</v>
      </c>
      <c r="W139" s="11">
        <v>114990</v>
      </c>
      <c r="X139" s="11">
        <v>115070</v>
      </c>
      <c r="Y139" s="11">
        <v>114970</v>
      </c>
      <c r="Z139" s="11">
        <v>115020</v>
      </c>
      <c r="AA139" s="11">
        <v>108840</v>
      </c>
      <c r="AB139" s="11">
        <v>108960</v>
      </c>
      <c r="AC139" s="11">
        <v>108830</v>
      </c>
      <c r="AD139" s="11">
        <v>108940</v>
      </c>
      <c r="AE139" s="12">
        <v>111490</v>
      </c>
      <c r="AF139" s="12">
        <v>111530</v>
      </c>
      <c r="AG139" s="12">
        <v>111460</v>
      </c>
      <c r="AH139" s="12">
        <v>111470</v>
      </c>
    </row>
    <row r="140" spans="19:34" x14ac:dyDescent="0.25">
      <c r="S140" s="11">
        <v>107140</v>
      </c>
      <c r="T140" s="11">
        <v>107140</v>
      </c>
      <c r="U140" s="11">
        <v>107140</v>
      </c>
      <c r="V140" s="11">
        <v>107140</v>
      </c>
      <c r="W140" s="12">
        <v>115010</v>
      </c>
      <c r="X140" s="12">
        <v>115040</v>
      </c>
      <c r="Y140" s="12">
        <v>114940</v>
      </c>
      <c r="Z140" s="12">
        <v>115020</v>
      </c>
      <c r="AA140" s="12">
        <v>108950</v>
      </c>
      <c r="AB140" s="12">
        <v>109080</v>
      </c>
      <c r="AC140" s="12">
        <v>108910</v>
      </c>
      <c r="AD140" s="12">
        <v>109010</v>
      </c>
      <c r="AE140" s="11">
        <v>111460</v>
      </c>
      <c r="AF140" s="11">
        <v>111510</v>
      </c>
      <c r="AG140" s="11">
        <v>111440</v>
      </c>
      <c r="AH140" s="11">
        <v>111480</v>
      </c>
    </row>
    <row r="141" spans="19:34" x14ac:dyDescent="0.25">
      <c r="S141" s="12">
        <v>107100</v>
      </c>
      <c r="T141" s="12">
        <v>107160</v>
      </c>
      <c r="U141" s="12">
        <v>107090</v>
      </c>
      <c r="V141" s="12">
        <v>107160</v>
      </c>
      <c r="W141" s="11">
        <v>115010</v>
      </c>
      <c r="X141" s="11">
        <v>115130</v>
      </c>
      <c r="Y141" s="11">
        <v>114980</v>
      </c>
      <c r="Z141" s="11">
        <v>115090</v>
      </c>
      <c r="AA141" s="11">
        <v>109010</v>
      </c>
      <c r="AB141" s="11">
        <v>109040</v>
      </c>
      <c r="AC141" s="11">
        <v>108970</v>
      </c>
      <c r="AD141" s="11">
        <v>109020</v>
      </c>
      <c r="AE141" s="12">
        <v>111490</v>
      </c>
      <c r="AF141" s="12">
        <v>111500</v>
      </c>
      <c r="AG141" s="12">
        <v>111470</v>
      </c>
      <c r="AH141" s="12">
        <v>111500</v>
      </c>
    </row>
    <row r="142" spans="19:34" x14ac:dyDescent="0.25">
      <c r="S142" s="11">
        <v>107180</v>
      </c>
      <c r="T142" s="11">
        <v>107200</v>
      </c>
      <c r="U142" s="11">
        <v>107130</v>
      </c>
      <c r="V142" s="11">
        <v>107130</v>
      </c>
      <c r="W142" s="12">
        <v>115090</v>
      </c>
      <c r="X142" s="12">
        <v>115090</v>
      </c>
      <c r="Y142" s="12">
        <v>115040</v>
      </c>
      <c r="Z142" s="12">
        <v>115060</v>
      </c>
      <c r="AA142" s="12">
        <v>109020</v>
      </c>
      <c r="AB142" s="12">
        <v>109040</v>
      </c>
      <c r="AC142" s="12">
        <v>108950</v>
      </c>
      <c r="AD142" s="12">
        <v>108980</v>
      </c>
      <c r="AE142" s="11">
        <v>111490</v>
      </c>
      <c r="AF142" s="11">
        <v>111490</v>
      </c>
      <c r="AG142" s="11">
        <v>111430</v>
      </c>
      <c r="AH142" s="11">
        <v>111440</v>
      </c>
    </row>
    <row r="143" spans="19:34" x14ac:dyDescent="0.25">
      <c r="S143" s="12">
        <v>107130</v>
      </c>
      <c r="T143" s="12">
        <v>107130</v>
      </c>
      <c r="U143" s="12">
        <v>107100</v>
      </c>
      <c r="V143" s="12">
        <v>107100</v>
      </c>
      <c r="W143" s="11">
        <v>115070</v>
      </c>
      <c r="X143" s="11">
        <v>115090</v>
      </c>
      <c r="Y143" s="11">
        <v>115050</v>
      </c>
      <c r="Z143" s="11">
        <v>115060</v>
      </c>
      <c r="AA143" s="11">
        <v>108980</v>
      </c>
      <c r="AB143" s="11">
        <v>109070</v>
      </c>
      <c r="AC143" s="11">
        <v>108970</v>
      </c>
      <c r="AD143" s="11">
        <v>109070</v>
      </c>
      <c r="AE143" s="12">
        <v>111460</v>
      </c>
      <c r="AF143" s="12">
        <v>111470</v>
      </c>
      <c r="AG143" s="12">
        <v>111450</v>
      </c>
      <c r="AH143" s="12">
        <v>111450</v>
      </c>
    </row>
    <row r="144" spans="19:34" x14ac:dyDescent="0.25">
      <c r="S144" s="11">
        <v>107140</v>
      </c>
      <c r="T144" s="11">
        <v>107140</v>
      </c>
      <c r="U144" s="11">
        <v>107140</v>
      </c>
      <c r="V144" s="11">
        <v>107140</v>
      </c>
      <c r="W144" s="12">
        <v>115050</v>
      </c>
      <c r="X144" s="12">
        <v>115050</v>
      </c>
      <c r="Y144" s="12">
        <v>114970</v>
      </c>
      <c r="Z144" s="12">
        <v>114970</v>
      </c>
      <c r="AA144" s="12">
        <v>109070</v>
      </c>
      <c r="AB144" s="12">
        <v>109170</v>
      </c>
      <c r="AC144" s="12">
        <v>109070</v>
      </c>
      <c r="AD144" s="12">
        <v>109140</v>
      </c>
      <c r="AE144" s="11">
        <v>111460</v>
      </c>
      <c r="AF144" s="11">
        <v>111460</v>
      </c>
      <c r="AG144" s="11">
        <v>111410</v>
      </c>
      <c r="AH144" s="11">
        <v>111410</v>
      </c>
    </row>
    <row r="145" spans="19:34" x14ac:dyDescent="0.25">
      <c r="S145" s="12">
        <v>107150</v>
      </c>
      <c r="T145" s="12">
        <v>107170</v>
      </c>
      <c r="U145" s="12">
        <v>107150</v>
      </c>
      <c r="V145" s="12">
        <v>107170</v>
      </c>
      <c r="W145" s="11">
        <v>115000</v>
      </c>
      <c r="X145" s="11">
        <v>115000</v>
      </c>
      <c r="Y145" s="11">
        <v>114920</v>
      </c>
      <c r="Z145" s="11">
        <v>114950</v>
      </c>
      <c r="AA145" s="11">
        <v>109140</v>
      </c>
      <c r="AB145" s="11">
        <v>109150</v>
      </c>
      <c r="AC145" s="11">
        <v>109090</v>
      </c>
      <c r="AD145" s="11">
        <v>109110</v>
      </c>
      <c r="AE145" s="12">
        <v>111410</v>
      </c>
      <c r="AF145" s="12">
        <v>111460</v>
      </c>
      <c r="AG145" s="12">
        <v>111410</v>
      </c>
      <c r="AH145" s="12">
        <v>111410</v>
      </c>
    </row>
    <row r="146" spans="19:34" x14ac:dyDescent="0.25">
      <c r="S146" s="11">
        <v>107190</v>
      </c>
      <c r="T146" s="11">
        <v>107270</v>
      </c>
      <c r="U146" s="11">
        <v>107190</v>
      </c>
      <c r="V146" s="11">
        <v>107250</v>
      </c>
      <c r="W146" s="12">
        <v>114960</v>
      </c>
      <c r="X146" s="12">
        <v>114980</v>
      </c>
      <c r="Y146" s="12">
        <v>114920</v>
      </c>
      <c r="Z146" s="12">
        <v>114950</v>
      </c>
      <c r="AA146" s="12">
        <v>109100</v>
      </c>
      <c r="AB146" s="12">
        <v>109120</v>
      </c>
      <c r="AC146" s="12">
        <v>109020</v>
      </c>
      <c r="AD146" s="12">
        <v>109060</v>
      </c>
      <c r="AE146" s="11">
        <v>111410</v>
      </c>
      <c r="AF146" s="11">
        <v>111430</v>
      </c>
      <c r="AG146" s="11">
        <v>111370</v>
      </c>
      <c r="AH146" s="11">
        <v>111420</v>
      </c>
    </row>
    <row r="147" spans="19:34" x14ac:dyDescent="0.25">
      <c r="S147" s="12">
        <v>107230</v>
      </c>
      <c r="T147" s="12">
        <v>107230</v>
      </c>
      <c r="U147" s="12">
        <v>107210</v>
      </c>
      <c r="V147" s="12">
        <v>107210</v>
      </c>
      <c r="W147" s="11">
        <v>114960</v>
      </c>
      <c r="X147" s="11">
        <v>114980</v>
      </c>
      <c r="Y147" s="11">
        <v>114930</v>
      </c>
      <c r="Z147" s="11">
        <v>114950</v>
      </c>
      <c r="AA147" s="11">
        <v>109060</v>
      </c>
      <c r="AB147" s="11">
        <v>109170</v>
      </c>
      <c r="AC147" s="11">
        <v>109030</v>
      </c>
      <c r="AD147" s="11">
        <v>109120</v>
      </c>
      <c r="AE147" s="12">
        <v>111420</v>
      </c>
      <c r="AF147" s="12">
        <v>111420</v>
      </c>
      <c r="AG147" s="12">
        <v>111370</v>
      </c>
      <c r="AH147" s="12">
        <v>111390</v>
      </c>
    </row>
    <row r="148" spans="19:34" x14ac:dyDescent="0.25">
      <c r="S148" s="11">
        <v>107200</v>
      </c>
      <c r="T148" s="11">
        <v>107250</v>
      </c>
      <c r="U148" s="11">
        <v>107190</v>
      </c>
      <c r="V148" s="11">
        <v>107250</v>
      </c>
      <c r="W148" s="12">
        <v>114950</v>
      </c>
      <c r="X148" s="12">
        <v>115050</v>
      </c>
      <c r="Y148" s="12">
        <v>114920</v>
      </c>
      <c r="Z148" s="12">
        <v>115050</v>
      </c>
      <c r="AA148" s="12">
        <v>109130</v>
      </c>
      <c r="AB148" s="12">
        <v>109220</v>
      </c>
      <c r="AC148" s="12">
        <v>109090</v>
      </c>
      <c r="AD148" s="12">
        <v>109150</v>
      </c>
      <c r="AE148" s="11">
        <v>111400</v>
      </c>
      <c r="AF148" s="11">
        <v>111410</v>
      </c>
      <c r="AG148" s="11">
        <v>111360</v>
      </c>
      <c r="AH148" s="11">
        <v>111370</v>
      </c>
    </row>
    <row r="149" spans="19:34" x14ac:dyDescent="0.25">
      <c r="S149" s="12">
        <v>107240</v>
      </c>
      <c r="T149" s="12">
        <v>107250</v>
      </c>
      <c r="U149" s="12">
        <v>107240</v>
      </c>
      <c r="V149" s="12">
        <v>107250</v>
      </c>
      <c r="W149" s="11">
        <v>115040</v>
      </c>
      <c r="X149" s="11">
        <v>115050</v>
      </c>
      <c r="Y149" s="11">
        <v>115000</v>
      </c>
      <c r="Z149" s="11">
        <v>115000</v>
      </c>
      <c r="AA149" s="11">
        <v>109150</v>
      </c>
      <c r="AB149" s="11">
        <v>109410</v>
      </c>
      <c r="AC149" s="11">
        <v>109140</v>
      </c>
      <c r="AD149" s="11">
        <v>109410</v>
      </c>
      <c r="AE149" s="12">
        <v>111360</v>
      </c>
      <c r="AF149" s="12">
        <v>111420</v>
      </c>
      <c r="AG149" s="12">
        <v>111350</v>
      </c>
      <c r="AH149" s="12">
        <v>111390</v>
      </c>
    </row>
    <row r="150" spans="19:34" x14ac:dyDescent="0.25">
      <c r="S150" s="11">
        <v>107250</v>
      </c>
      <c r="T150" s="11">
        <v>107280</v>
      </c>
      <c r="U150" s="11">
        <v>107230</v>
      </c>
      <c r="V150" s="11">
        <v>107230</v>
      </c>
      <c r="W150" s="12">
        <v>115000</v>
      </c>
      <c r="X150" s="12">
        <v>115050</v>
      </c>
      <c r="Y150" s="12">
        <v>114970</v>
      </c>
      <c r="Z150" s="12">
        <v>114980</v>
      </c>
      <c r="AA150" s="12">
        <v>109400</v>
      </c>
      <c r="AB150" s="12">
        <v>109800</v>
      </c>
      <c r="AC150" s="12">
        <v>109390</v>
      </c>
      <c r="AD150" s="12">
        <v>109790</v>
      </c>
      <c r="AE150" s="11">
        <v>111400</v>
      </c>
      <c r="AF150" s="11">
        <v>111450</v>
      </c>
      <c r="AG150" s="11">
        <v>111390</v>
      </c>
      <c r="AH150" s="11">
        <v>111440</v>
      </c>
    </row>
    <row r="151" spans="19:34" x14ac:dyDescent="0.25">
      <c r="S151" s="12">
        <v>107210</v>
      </c>
      <c r="T151" s="12">
        <v>107210</v>
      </c>
      <c r="U151" s="12">
        <v>107210</v>
      </c>
      <c r="V151" s="12">
        <v>107210</v>
      </c>
      <c r="W151" s="11">
        <v>114980</v>
      </c>
      <c r="X151" s="11">
        <v>115040</v>
      </c>
      <c r="Y151" s="11">
        <v>114970</v>
      </c>
      <c r="Z151" s="11">
        <v>115000</v>
      </c>
      <c r="AA151" s="11">
        <v>109790</v>
      </c>
      <c r="AB151" s="11">
        <v>109860</v>
      </c>
      <c r="AC151" s="11">
        <v>109710</v>
      </c>
      <c r="AD151" s="11">
        <v>109720</v>
      </c>
      <c r="AE151" s="12">
        <v>111440</v>
      </c>
      <c r="AF151" s="12">
        <v>111450</v>
      </c>
      <c r="AG151" s="12">
        <v>111400</v>
      </c>
      <c r="AH151" s="12">
        <v>111430</v>
      </c>
    </row>
    <row r="152" spans="19:34" x14ac:dyDescent="0.25">
      <c r="S152" s="11">
        <v>107180</v>
      </c>
      <c r="T152" s="11">
        <v>107210</v>
      </c>
      <c r="U152" s="11">
        <v>107180</v>
      </c>
      <c r="V152" s="11">
        <v>107210</v>
      </c>
      <c r="W152" s="12">
        <v>114990</v>
      </c>
      <c r="X152" s="12">
        <v>115040</v>
      </c>
      <c r="Y152" s="12">
        <v>114970</v>
      </c>
      <c r="Z152" s="12">
        <v>114980</v>
      </c>
      <c r="AA152" s="12">
        <v>109720</v>
      </c>
      <c r="AB152" s="12">
        <v>109820</v>
      </c>
      <c r="AC152" s="12">
        <v>109720</v>
      </c>
      <c r="AD152" s="12">
        <v>109810</v>
      </c>
      <c r="AE152" s="11">
        <v>111410</v>
      </c>
      <c r="AF152" s="11">
        <v>111420</v>
      </c>
      <c r="AG152" s="11">
        <v>111330</v>
      </c>
      <c r="AH152" s="11">
        <v>111370</v>
      </c>
    </row>
    <row r="153" spans="19:34" x14ac:dyDescent="0.25">
      <c r="S153" s="12">
        <v>107190</v>
      </c>
      <c r="T153" s="12">
        <v>107280</v>
      </c>
      <c r="U153" s="12">
        <v>107190</v>
      </c>
      <c r="V153" s="12">
        <v>107280</v>
      </c>
      <c r="W153" s="11">
        <v>114990</v>
      </c>
      <c r="X153" s="11">
        <v>115000</v>
      </c>
      <c r="Y153" s="11">
        <v>114890</v>
      </c>
      <c r="Z153" s="11">
        <v>114910</v>
      </c>
      <c r="AA153" s="11">
        <v>109800</v>
      </c>
      <c r="AB153" s="11">
        <v>109830</v>
      </c>
      <c r="AC153" s="11">
        <v>109620</v>
      </c>
      <c r="AD153" s="11">
        <v>109650</v>
      </c>
      <c r="AE153" s="12">
        <v>111370</v>
      </c>
      <c r="AF153" s="12">
        <v>111450</v>
      </c>
      <c r="AG153" s="12">
        <v>111370</v>
      </c>
      <c r="AH153" s="12">
        <v>111440</v>
      </c>
    </row>
    <row r="154" spans="19:34" x14ac:dyDescent="0.25">
      <c r="S154" s="11">
        <v>107290</v>
      </c>
      <c r="T154" s="11">
        <v>107380</v>
      </c>
      <c r="U154" s="11">
        <v>107290</v>
      </c>
      <c r="V154" s="11">
        <v>107340</v>
      </c>
      <c r="W154" s="12">
        <v>114910</v>
      </c>
      <c r="X154" s="12">
        <v>114940</v>
      </c>
      <c r="Y154" s="12">
        <v>114900</v>
      </c>
      <c r="Z154" s="12">
        <v>114920</v>
      </c>
      <c r="AA154" s="12">
        <v>109650</v>
      </c>
      <c r="AB154" s="12">
        <v>109710</v>
      </c>
      <c r="AC154" s="12">
        <v>109640</v>
      </c>
      <c r="AD154" s="12">
        <v>109650</v>
      </c>
      <c r="AE154" s="11">
        <v>111440</v>
      </c>
      <c r="AF154" s="11">
        <v>111510</v>
      </c>
      <c r="AG154" s="11">
        <v>111430</v>
      </c>
      <c r="AH154" s="11">
        <v>111510</v>
      </c>
    </row>
    <row r="155" spans="19:34" x14ac:dyDescent="0.25">
      <c r="S155" s="12">
        <v>107340</v>
      </c>
      <c r="T155" s="12">
        <v>107350</v>
      </c>
      <c r="U155" s="12">
        <v>107320</v>
      </c>
      <c r="V155" s="12">
        <v>107320</v>
      </c>
      <c r="W155" s="11">
        <v>114910</v>
      </c>
      <c r="X155" s="11">
        <v>114950</v>
      </c>
      <c r="Y155" s="11">
        <v>114900</v>
      </c>
      <c r="Z155" s="11">
        <v>114930</v>
      </c>
      <c r="AA155" s="11">
        <v>109660</v>
      </c>
      <c r="AB155" s="11">
        <v>109740</v>
      </c>
      <c r="AC155" s="11">
        <v>109660</v>
      </c>
      <c r="AD155" s="11">
        <v>109680</v>
      </c>
      <c r="AE155" s="12">
        <v>111510</v>
      </c>
      <c r="AF155" s="12">
        <v>111510</v>
      </c>
      <c r="AG155" s="12">
        <v>111450</v>
      </c>
      <c r="AH155" s="12">
        <v>111490</v>
      </c>
    </row>
    <row r="156" spans="19:34" x14ac:dyDescent="0.25">
      <c r="S156" s="11">
        <v>107330</v>
      </c>
      <c r="T156" s="11">
        <v>107330</v>
      </c>
      <c r="U156" s="11">
        <v>107300</v>
      </c>
      <c r="V156" s="11">
        <v>107300</v>
      </c>
      <c r="W156" s="12">
        <v>114940</v>
      </c>
      <c r="X156" s="12">
        <v>114960</v>
      </c>
      <c r="Y156" s="12">
        <v>114930</v>
      </c>
      <c r="Z156" s="12">
        <v>114930</v>
      </c>
      <c r="AA156" s="12">
        <v>109690</v>
      </c>
      <c r="AB156" s="12">
        <v>109730</v>
      </c>
      <c r="AC156" s="12">
        <v>109650</v>
      </c>
      <c r="AD156" s="12">
        <v>109670</v>
      </c>
      <c r="AE156" s="11">
        <v>111500</v>
      </c>
      <c r="AF156" s="11">
        <v>111530</v>
      </c>
      <c r="AG156" s="11">
        <v>111490</v>
      </c>
      <c r="AH156" s="11">
        <v>111510</v>
      </c>
    </row>
    <row r="157" spans="19:34" x14ac:dyDescent="0.25">
      <c r="S157" s="12">
        <v>107300</v>
      </c>
      <c r="T157" s="12">
        <v>107300</v>
      </c>
      <c r="U157" s="12">
        <v>107300</v>
      </c>
      <c r="V157" s="12">
        <v>107300</v>
      </c>
      <c r="W157" s="11">
        <v>114920</v>
      </c>
      <c r="X157" s="11">
        <v>114950</v>
      </c>
      <c r="Y157" s="11">
        <v>114900</v>
      </c>
      <c r="Z157" s="11">
        <v>114910</v>
      </c>
      <c r="AA157" s="11">
        <v>109680</v>
      </c>
      <c r="AB157" s="11">
        <v>109700</v>
      </c>
      <c r="AC157" s="11">
        <v>109650</v>
      </c>
      <c r="AD157" s="11">
        <v>109680</v>
      </c>
      <c r="AE157" s="12">
        <v>111510</v>
      </c>
      <c r="AF157" s="12">
        <v>111510</v>
      </c>
      <c r="AG157" s="12">
        <v>111460</v>
      </c>
      <c r="AH157" s="12">
        <v>111480</v>
      </c>
    </row>
    <row r="158" spans="19:34" x14ac:dyDescent="0.25">
      <c r="S158" s="11">
        <v>107290</v>
      </c>
      <c r="T158" s="11">
        <v>107290</v>
      </c>
      <c r="U158" s="11">
        <v>107280</v>
      </c>
      <c r="V158" s="11">
        <v>107280</v>
      </c>
      <c r="W158" s="12">
        <v>114930</v>
      </c>
      <c r="X158" s="12">
        <v>114930</v>
      </c>
      <c r="Y158" s="12">
        <v>114860</v>
      </c>
      <c r="Z158" s="12">
        <v>114870</v>
      </c>
      <c r="AA158" s="12">
        <v>109670</v>
      </c>
      <c r="AB158" s="12">
        <v>109720</v>
      </c>
      <c r="AC158" s="12">
        <v>109630</v>
      </c>
      <c r="AD158" s="12">
        <v>109670</v>
      </c>
      <c r="AE158" s="11">
        <v>111480</v>
      </c>
      <c r="AF158" s="11">
        <v>111500</v>
      </c>
      <c r="AG158" s="11">
        <v>111460</v>
      </c>
      <c r="AH158" s="11">
        <v>111460</v>
      </c>
    </row>
    <row r="159" spans="19:34" x14ac:dyDescent="0.25">
      <c r="S159" s="12">
        <v>107290</v>
      </c>
      <c r="T159" s="12">
        <v>107320</v>
      </c>
      <c r="U159" s="12">
        <v>107290</v>
      </c>
      <c r="V159" s="12">
        <v>107320</v>
      </c>
      <c r="W159" s="11">
        <v>114870</v>
      </c>
      <c r="X159" s="11">
        <v>114900</v>
      </c>
      <c r="Y159" s="11">
        <v>114860</v>
      </c>
      <c r="Z159" s="11">
        <v>114880</v>
      </c>
      <c r="AA159" s="11">
        <v>109680</v>
      </c>
      <c r="AB159" s="11">
        <v>109740</v>
      </c>
      <c r="AC159" s="11">
        <v>109650</v>
      </c>
      <c r="AD159" s="11">
        <v>109670</v>
      </c>
      <c r="AE159" s="12">
        <v>111470</v>
      </c>
      <c r="AF159" s="12">
        <v>111480</v>
      </c>
      <c r="AG159" s="12">
        <v>111440</v>
      </c>
      <c r="AH159" s="12">
        <v>111440</v>
      </c>
    </row>
    <row r="160" spans="19:34" x14ac:dyDescent="0.25">
      <c r="S160" s="11">
        <v>107370</v>
      </c>
      <c r="T160" s="11">
        <v>107380</v>
      </c>
      <c r="U160" s="11">
        <v>107370</v>
      </c>
      <c r="V160" s="11">
        <v>107380</v>
      </c>
      <c r="W160" s="12">
        <v>114870</v>
      </c>
      <c r="X160" s="12">
        <v>114930</v>
      </c>
      <c r="Y160" s="12">
        <v>114870</v>
      </c>
      <c r="Z160" s="12">
        <v>114900</v>
      </c>
      <c r="AA160" s="12">
        <v>109670</v>
      </c>
      <c r="AB160" s="12">
        <v>109690</v>
      </c>
      <c r="AC160" s="12">
        <v>109640</v>
      </c>
      <c r="AD160" s="12">
        <v>109660</v>
      </c>
      <c r="AE160" s="11">
        <v>111450</v>
      </c>
      <c r="AF160" s="11">
        <v>111530</v>
      </c>
      <c r="AG160" s="11">
        <v>111440</v>
      </c>
      <c r="AH160" s="11">
        <v>111460</v>
      </c>
    </row>
    <row r="161" spans="19:34" x14ac:dyDescent="0.25">
      <c r="S161" s="12">
        <v>107390</v>
      </c>
      <c r="T161" s="12">
        <v>107480</v>
      </c>
      <c r="U161" s="12">
        <v>107390</v>
      </c>
      <c r="V161" s="12">
        <v>107470</v>
      </c>
      <c r="W161" s="11">
        <v>114900</v>
      </c>
      <c r="X161" s="11">
        <v>114930</v>
      </c>
      <c r="Y161" s="11">
        <v>114880</v>
      </c>
      <c r="Z161" s="11">
        <v>114910</v>
      </c>
      <c r="AA161" s="11">
        <v>109670</v>
      </c>
      <c r="AB161" s="11">
        <v>109710</v>
      </c>
      <c r="AC161" s="11">
        <v>109640</v>
      </c>
      <c r="AD161" s="11">
        <v>109710</v>
      </c>
      <c r="AE161" s="12">
        <v>111470</v>
      </c>
      <c r="AF161" s="12">
        <v>111540</v>
      </c>
      <c r="AG161" s="12">
        <v>111460</v>
      </c>
      <c r="AH161" s="12">
        <v>111500</v>
      </c>
    </row>
    <row r="162" spans="19:34" x14ac:dyDescent="0.25">
      <c r="S162" s="11">
        <v>107490</v>
      </c>
      <c r="T162" s="11">
        <v>107600</v>
      </c>
      <c r="U162" s="11">
        <v>107490</v>
      </c>
      <c r="V162" s="11">
        <v>107600</v>
      </c>
      <c r="W162" s="12">
        <v>114930</v>
      </c>
      <c r="X162" s="12">
        <v>114970</v>
      </c>
      <c r="Y162" s="12">
        <v>114930</v>
      </c>
      <c r="Z162" s="12">
        <v>114950</v>
      </c>
      <c r="AA162" s="12">
        <v>109720</v>
      </c>
      <c r="AB162" s="12">
        <v>109730</v>
      </c>
      <c r="AC162" s="12">
        <v>109630</v>
      </c>
      <c r="AD162" s="12">
        <v>109640</v>
      </c>
      <c r="AE162" s="11">
        <v>111500</v>
      </c>
      <c r="AF162" s="11">
        <v>111500</v>
      </c>
      <c r="AG162" s="11">
        <v>111470</v>
      </c>
      <c r="AH162" s="11">
        <v>111480</v>
      </c>
    </row>
    <row r="163" spans="19:34" x14ac:dyDescent="0.25">
      <c r="S163" s="12">
        <v>107610</v>
      </c>
      <c r="T163" s="12">
        <v>107630</v>
      </c>
      <c r="U163" s="12">
        <v>107600</v>
      </c>
      <c r="V163" s="12">
        <v>107600</v>
      </c>
      <c r="W163" s="11">
        <v>114960</v>
      </c>
      <c r="X163" s="11">
        <v>114980</v>
      </c>
      <c r="Y163" s="11">
        <v>114940</v>
      </c>
      <c r="Z163" s="11">
        <v>114960</v>
      </c>
      <c r="AA163" s="11">
        <v>109640</v>
      </c>
      <c r="AB163" s="11">
        <v>109800</v>
      </c>
      <c r="AC163" s="11">
        <v>109600</v>
      </c>
      <c r="AD163" s="11">
        <v>109800</v>
      </c>
      <c r="AE163" s="12">
        <v>111480</v>
      </c>
      <c r="AF163" s="12">
        <v>111510</v>
      </c>
      <c r="AG163" s="12">
        <v>111470</v>
      </c>
      <c r="AH163" s="12">
        <v>111480</v>
      </c>
    </row>
    <row r="164" spans="19:34" x14ac:dyDescent="0.25">
      <c r="S164" s="11">
        <v>107580</v>
      </c>
      <c r="T164" s="11">
        <v>107580</v>
      </c>
      <c r="U164" s="11">
        <v>107560</v>
      </c>
      <c r="V164" s="11">
        <v>107560</v>
      </c>
      <c r="W164" s="12">
        <v>114960</v>
      </c>
      <c r="X164" s="12">
        <v>114980</v>
      </c>
      <c r="Y164" s="12">
        <v>114950</v>
      </c>
      <c r="Z164" s="12">
        <v>114960</v>
      </c>
      <c r="AA164" s="12">
        <v>109800</v>
      </c>
      <c r="AB164" s="12">
        <v>109820</v>
      </c>
      <c r="AC164" s="12">
        <v>109710</v>
      </c>
      <c r="AD164" s="12">
        <v>109730</v>
      </c>
      <c r="AE164" s="11">
        <v>111490</v>
      </c>
      <c r="AF164" s="11">
        <v>111490</v>
      </c>
      <c r="AG164" s="11">
        <v>111440</v>
      </c>
      <c r="AH164" s="11">
        <v>111480</v>
      </c>
    </row>
    <row r="165" spans="19:34" x14ac:dyDescent="0.25">
      <c r="S165" s="12">
        <v>107580</v>
      </c>
      <c r="T165" s="12">
        <v>107580</v>
      </c>
      <c r="U165" s="12">
        <v>107510</v>
      </c>
      <c r="V165" s="12">
        <v>107510</v>
      </c>
      <c r="W165" s="11">
        <v>114950</v>
      </c>
      <c r="X165" s="11">
        <v>114950</v>
      </c>
      <c r="Y165" s="11">
        <v>114870</v>
      </c>
      <c r="Z165" s="11">
        <v>114900</v>
      </c>
      <c r="AA165" s="11">
        <v>109730</v>
      </c>
      <c r="AB165" s="11">
        <v>109920</v>
      </c>
      <c r="AC165" s="11">
        <v>109700</v>
      </c>
      <c r="AD165" s="11">
        <v>109750</v>
      </c>
      <c r="AE165" s="12">
        <v>111480</v>
      </c>
      <c r="AF165" s="12">
        <v>111480</v>
      </c>
      <c r="AG165" s="12">
        <v>111420</v>
      </c>
      <c r="AH165" s="12">
        <v>111430</v>
      </c>
    </row>
    <row r="166" spans="19:34" x14ac:dyDescent="0.25">
      <c r="S166" s="11">
        <v>107490</v>
      </c>
      <c r="T166" s="11">
        <v>107530</v>
      </c>
      <c r="U166" s="11">
        <v>107490</v>
      </c>
      <c r="V166" s="11">
        <v>107490</v>
      </c>
      <c r="W166" s="12">
        <v>114900</v>
      </c>
      <c r="X166" s="12">
        <v>114900</v>
      </c>
      <c r="Y166" s="12">
        <v>114850</v>
      </c>
      <c r="Z166" s="12">
        <v>114880</v>
      </c>
      <c r="AA166" s="12">
        <v>109750</v>
      </c>
      <c r="AB166" s="12">
        <v>109770</v>
      </c>
      <c r="AC166" s="12">
        <v>109640</v>
      </c>
      <c r="AD166" s="12">
        <v>109650</v>
      </c>
      <c r="AE166" s="11">
        <v>111430</v>
      </c>
      <c r="AF166" s="11">
        <v>111430</v>
      </c>
      <c r="AG166" s="11">
        <v>111360</v>
      </c>
      <c r="AH166" s="11">
        <v>111420</v>
      </c>
    </row>
    <row r="167" spans="19:34" x14ac:dyDescent="0.25">
      <c r="S167" s="12">
        <v>107510</v>
      </c>
      <c r="T167" s="12">
        <v>107510</v>
      </c>
      <c r="U167" s="12">
        <v>107490</v>
      </c>
      <c r="V167" s="12">
        <v>107490</v>
      </c>
      <c r="W167" s="11">
        <v>114870</v>
      </c>
      <c r="X167" s="11">
        <v>114890</v>
      </c>
      <c r="Y167" s="11">
        <v>114850</v>
      </c>
      <c r="Z167" s="11">
        <v>114890</v>
      </c>
      <c r="AA167" s="11">
        <v>109660</v>
      </c>
      <c r="AB167" s="11">
        <v>109710</v>
      </c>
      <c r="AC167" s="11">
        <v>109630</v>
      </c>
      <c r="AD167" s="11">
        <v>109700</v>
      </c>
      <c r="AE167" s="12">
        <v>111400</v>
      </c>
      <c r="AF167" s="12">
        <v>111420</v>
      </c>
      <c r="AG167" s="12">
        <v>111370</v>
      </c>
      <c r="AH167" s="12">
        <v>111370</v>
      </c>
    </row>
    <row r="168" spans="19:34" x14ac:dyDescent="0.25">
      <c r="S168" s="11">
        <v>107490</v>
      </c>
      <c r="T168" s="11">
        <v>107490</v>
      </c>
      <c r="U168" s="11">
        <v>107490</v>
      </c>
      <c r="V168" s="11">
        <v>107490</v>
      </c>
      <c r="W168" s="12">
        <v>114890</v>
      </c>
      <c r="X168" s="12">
        <v>114960</v>
      </c>
      <c r="Y168" s="12">
        <v>114870</v>
      </c>
      <c r="Z168" s="12">
        <v>114940</v>
      </c>
      <c r="AA168" s="12">
        <v>109700</v>
      </c>
      <c r="AB168" s="12">
        <v>109740</v>
      </c>
      <c r="AC168" s="12">
        <v>109670</v>
      </c>
      <c r="AD168" s="12">
        <v>109700</v>
      </c>
      <c r="AE168" s="11">
        <v>111370</v>
      </c>
      <c r="AF168" s="11">
        <v>111400</v>
      </c>
      <c r="AG168" s="11">
        <v>111320</v>
      </c>
      <c r="AH168" s="11">
        <v>111370</v>
      </c>
    </row>
    <row r="169" spans="19:34" x14ac:dyDescent="0.25">
      <c r="S169" s="12">
        <v>107510</v>
      </c>
      <c r="T169" s="12">
        <v>107510</v>
      </c>
      <c r="U169" s="12">
        <v>107510</v>
      </c>
      <c r="V169" s="12">
        <v>107510</v>
      </c>
      <c r="W169" s="11">
        <v>114960</v>
      </c>
      <c r="X169" s="11">
        <v>115050</v>
      </c>
      <c r="Y169" s="11">
        <v>114950</v>
      </c>
      <c r="Z169" s="11">
        <v>115020</v>
      </c>
      <c r="AA169" s="11">
        <v>109710</v>
      </c>
      <c r="AB169" s="11">
        <v>109740</v>
      </c>
      <c r="AC169" s="11">
        <v>109680</v>
      </c>
      <c r="AD169" s="11">
        <v>109720</v>
      </c>
      <c r="AE169" s="12">
        <v>111350</v>
      </c>
      <c r="AF169" s="12">
        <v>111370</v>
      </c>
      <c r="AG169" s="12">
        <v>111290</v>
      </c>
      <c r="AH169" s="12">
        <v>111290</v>
      </c>
    </row>
    <row r="170" spans="19:34" x14ac:dyDescent="0.25">
      <c r="S170" s="11">
        <v>107550</v>
      </c>
      <c r="T170" s="11">
        <v>107550</v>
      </c>
      <c r="U170" s="11">
        <v>107550</v>
      </c>
      <c r="V170" s="11">
        <v>107550</v>
      </c>
      <c r="W170" s="12">
        <v>115020</v>
      </c>
      <c r="X170" s="12">
        <v>115030</v>
      </c>
      <c r="Y170" s="12">
        <v>114940</v>
      </c>
      <c r="Z170" s="12">
        <v>114950</v>
      </c>
      <c r="AA170" s="12">
        <v>109720</v>
      </c>
      <c r="AB170" s="12">
        <v>109720</v>
      </c>
      <c r="AC170" s="12">
        <v>109640</v>
      </c>
      <c r="AD170" s="12">
        <v>109640</v>
      </c>
      <c r="AE170" s="11">
        <v>111280</v>
      </c>
      <c r="AF170" s="11">
        <v>111320</v>
      </c>
      <c r="AG170" s="11">
        <v>111250</v>
      </c>
      <c r="AH170" s="11">
        <v>111300</v>
      </c>
    </row>
    <row r="171" spans="19:34" x14ac:dyDescent="0.25">
      <c r="S171" s="12">
        <v>107490</v>
      </c>
      <c r="T171" s="12">
        <v>107490</v>
      </c>
      <c r="U171" s="12">
        <v>107480</v>
      </c>
      <c r="V171" s="12">
        <v>107480</v>
      </c>
      <c r="W171" s="11">
        <v>114950</v>
      </c>
      <c r="X171" s="11">
        <v>115020</v>
      </c>
      <c r="Y171" s="11">
        <v>114940</v>
      </c>
      <c r="Z171" s="11">
        <v>114990</v>
      </c>
      <c r="AA171" s="11">
        <v>109650</v>
      </c>
      <c r="AB171" s="11">
        <v>109670</v>
      </c>
      <c r="AC171" s="11">
        <v>109620</v>
      </c>
      <c r="AD171" s="11">
        <v>109650</v>
      </c>
      <c r="AE171" s="12">
        <v>111300</v>
      </c>
      <c r="AF171" s="12">
        <v>111350</v>
      </c>
      <c r="AG171" s="12">
        <v>111280</v>
      </c>
      <c r="AH171" s="12">
        <v>111290</v>
      </c>
    </row>
    <row r="172" spans="19:34" x14ac:dyDescent="0.25">
      <c r="S172" s="11">
        <v>107480</v>
      </c>
      <c r="T172" s="11">
        <v>107480</v>
      </c>
      <c r="U172" s="11">
        <v>107360</v>
      </c>
      <c r="V172" s="11">
        <v>107360</v>
      </c>
      <c r="W172" s="12">
        <v>114990</v>
      </c>
      <c r="X172" s="12">
        <v>115010</v>
      </c>
      <c r="Y172" s="12">
        <v>114960</v>
      </c>
      <c r="Z172" s="12">
        <v>115010</v>
      </c>
      <c r="AA172" s="12">
        <v>109660</v>
      </c>
      <c r="AB172" s="12">
        <v>109740</v>
      </c>
      <c r="AC172" s="12">
        <v>109650</v>
      </c>
      <c r="AD172" s="12">
        <v>109700</v>
      </c>
      <c r="AE172" s="11">
        <v>111290</v>
      </c>
      <c r="AF172" s="11">
        <v>111340</v>
      </c>
      <c r="AG172" s="11">
        <v>111280</v>
      </c>
      <c r="AH172" s="11">
        <v>111340</v>
      </c>
    </row>
    <row r="173" spans="19:34" x14ac:dyDescent="0.25">
      <c r="S173" s="12">
        <v>107350</v>
      </c>
      <c r="T173" s="12">
        <v>107360</v>
      </c>
      <c r="U173" s="12">
        <v>107300</v>
      </c>
      <c r="V173" s="12">
        <v>107300</v>
      </c>
      <c r="W173" s="11">
        <v>115000</v>
      </c>
      <c r="X173" s="11">
        <v>115050</v>
      </c>
      <c r="Y173" s="11">
        <v>115000</v>
      </c>
      <c r="Z173" s="11">
        <v>115040</v>
      </c>
      <c r="AA173" s="11">
        <v>109710</v>
      </c>
      <c r="AB173" s="11">
        <v>109710</v>
      </c>
      <c r="AC173" s="11">
        <v>109660</v>
      </c>
      <c r="AD173" s="11">
        <v>109680</v>
      </c>
      <c r="AE173" s="12">
        <v>111340</v>
      </c>
      <c r="AF173" s="12">
        <v>111380</v>
      </c>
      <c r="AG173" s="12">
        <v>111300</v>
      </c>
      <c r="AH173" s="12">
        <v>111320</v>
      </c>
    </row>
    <row r="174" spans="19:34" x14ac:dyDescent="0.25">
      <c r="S174" s="11">
        <v>107320</v>
      </c>
      <c r="T174" s="11">
        <v>107320</v>
      </c>
      <c r="U174" s="11">
        <v>107310</v>
      </c>
      <c r="V174" s="11">
        <v>107310</v>
      </c>
      <c r="W174" s="12">
        <v>115030</v>
      </c>
      <c r="X174" s="12">
        <v>115050</v>
      </c>
      <c r="Y174" s="12">
        <v>115000</v>
      </c>
      <c r="Z174" s="12">
        <v>115000</v>
      </c>
      <c r="AA174" s="12">
        <v>109670</v>
      </c>
      <c r="AB174" s="12">
        <v>109760</v>
      </c>
      <c r="AC174" s="12">
        <v>109650</v>
      </c>
      <c r="AD174" s="12">
        <v>109750</v>
      </c>
      <c r="AE174" s="11">
        <v>111310</v>
      </c>
      <c r="AF174" s="11">
        <v>111320</v>
      </c>
      <c r="AG174" s="11">
        <v>111270</v>
      </c>
      <c r="AH174" s="11">
        <v>111290</v>
      </c>
    </row>
    <row r="175" spans="19:34" x14ac:dyDescent="0.25">
      <c r="S175" s="12">
        <v>107310</v>
      </c>
      <c r="T175" s="12">
        <v>107310</v>
      </c>
      <c r="U175" s="12">
        <v>107180</v>
      </c>
      <c r="V175" s="12">
        <v>107180</v>
      </c>
      <c r="W175" s="11">
        <v>115000</v>
      </c>
      <c r="X175" s="11">
        <v>115000</v>
      </c>
      <c r="Y175" s="11">
        <v>114950</v>
      </c>
      <c r="Z175" s="11">
        <v>114970</v>
      </c>
      <c r="AA175" s="11">
        <v>109750</v>
      </c>
      <c r="AB175" s="11">
        <v>109760</v>
      </c>
      <c r="AC175" s="11">
        <v>109640</v>
      </c>
      <c r="AD175" s="11">
        <v>109670</v>
      </c>
      <c r="AE175" s="12">
        <v>111300</v>
      </c>
      <c r="AF175" s="12">
        <v>111310</v>
      </c>
      <c r="AG175" s="12">
        <v>111180</v>
      </c>
      <c r="AH175" s="12">
        <v>111260</v>
      </c>
    </row>
    <row r="176" spans="19:34" x14ac:dyDescent="0.25">
      <c r="S176" s="11">
        <v>107150</v>
      </c>
      <c r="T176" s="11">
        <v>107200</v>
      </c>
      <c r="U176" s="11">
        <v>107150</v>
      </c>
      <c r="V176" s="11">
        <v>107200</v>
      </c>
      <c r="W176" s="12">
        <v>114960</v>
      </c>
      <c r="X176" s="12">
        <v>114970</v>
      </c>
      <c r="Y176" s="12">
        <v>114890</v>
      </c>
      <c r="Z176" s="12">
        <v>114890</v>
      </c>
      <c r="AA176" s="12">
        <v>109660</v>
      </c>
      <c r="AB176" s="12">
        <v>109670</v>
      </c>
      <c r="AC176" s="12">
        <v>109610</v>
      </c>
      <c r="AD176" s="12">
        <v>109650</v>
      </c>
      <c r="AE176" s="11">
        <v>111260</v>
      </c>
      <c r="AF176" s="11">
        <v>111300</v>
      </c>
      <c r="AG176" s="11">
        <v>111200</v>
      </c>
      <c r="AH176" s="11">
        <v>111260</v>
      </c>
    </row>
    <row r="177" spans="19:34" x14ac:dyDescent="0.25">
      <c r="S177" s="12">
        <v>107200</v>
      </c>
      <c r="T177" s="12">
        <v>107220</v>
      </c>
      <c r="U177" s="12">
        <v>107200</v>
      </c>
      <c r="V177" s="12">
        <v>107220</v>
      </c>
      <c r="W177" s="11">
        <v>114890</v>
      </c>
      <c r="X177" s="11">
        <v>114970</v>
      </c>
      <c r="Y177" s="11">
        <v>114890</v>
      </c>
      <c r="Z177" s="11">
        <v>114960</v>
      </c>
      <c r="AA177" s="11">
        <v>109650</v>
      </c>
      <c r="AB177" s="11">
        <v>109670</v>
      </c>
      <c r="AC177" s="11">
        <v>109620</v>
      </c>
      <c r="AD177" s="11">
        <v>109660</v>
      </c>
      <c r="AE177" s="12">
        <v>111260</v>
      </c>
      <c r="AF177" s="12">
        <v>111280</v>
      </c>
      <c r="AG177" s="12">
        <v>111190</v>
      </c>
      <c r="AH177" s="12">
        <v>111190</v>
      </c>
    </row>
    <row r="178" spans="19:34" x14ac:dyDescent="0.25">
      <c r="S178" s="11">
        <v>107230</v>
      </c>
      <c r="T178" s="11">
        <v>107240</v>
      </c>
      <c r="U178" s="11">
        <v>107210</v>
      </c>
      <c r="V178" s="11">
        <v>107220</v>
      </c>
      <c r="W178" s="12">
        <v>114940</v>
      </c>
      <c r="X178" s="12">
        <v>115040</v>
      </c>
      <c r="Y178" s="12">
        <v>114940</v>
      </c>
      <c r="Z178" s="12">
        <v>114980</v>
      </c>
      <c r="AA178" s="12">
        <v>109660</v>
      </c>
      <c r="AB178" s="12">
        <v>109660</v>
      </c>
      <c r="AC178" s="12">
        <v>109520</v>
      </c>
      <c r="AD178" s="12">
        <v>109580</v>
      </c>
      <c r="AE178" s="11">
        <v>111190</v>
      </c>
      <c r="AF178" s="11">
        <v>111250</v>
      </c>
      <c r="AG178" s="11">
        <v>111160</v>
      </c>
      <c r="AH178" s="11">
        <v>111240</v>
      </c>
    </row>
    <row r="179" spans="19:34" x14ac:dyDescent="0.25">
      <c r="S179" s="12">
        <v>107200</v>
      </c>
      <c r="T179" s="12">
        <v>107200</v>
      </c>
      <c r="U179" s="12">
        <v>107200</v>
      </c>
      <c r="V179" s="12">
        <v>107200</v>
      </c>
      <c r="W179" s="11">
        <v>114970</v>
      </c>
      <c r="X179" s="11">
        <v>115000</v>
      </c>
      <c r="Y179" s="11">
        <v>114960</v>
      </c>
      <c r="Z179" s="11">
        <v>114990</v>
      </c>
      <c r="AA179" s="11">
        <v>109570</v>
      </c>
      <c r="AB179" s="11">
        <v>109580</v>
      </c>
      <c r="AC179" s="11">
        <v>109550</v>
      </c>
      <c r="AD179" s="11">
        <v>109580</v>
      </c>
      <c r="AE179" s="12">
        <v>111240</v>
      </c>
      <c r="AF179" s="12">
        <v>111270</v>
      </c>
      <c r="AG179" s="12">
        <v>111220</v>
      </c>
      <c r="AH179" s="12">
        <v>111260</v>
      </c>
    </row>
    <row r="180" spans="19:34" x14ac:dyDescent="0.25">
      <c r="S180" s="11">
        <v>107260</v>
      </c>
      <c r="T180" s="11">
        <v>107280</v>
      </c>
      <c r="U180" s="11">
        <v>107200</v>
      </c>
      <c r="V180" s="11">
        <v>107200</v>
      </c>
      <c r="W180" s="12">
        <v>115000</v>
      </c>
      <c r="X180" s="12">
        <v>115020</v>
      </c>
      <c r="Y180" s="12">
        <v>114980</v>
      </c>
      <c r="Z180" s="12">
        <v>114990</v>
      </c>
      <c r="AA180" s="12">
        <v>109570</v>
      </c>
      <c r="AB180" s="12">
        <v>109600</v>
      </c>
      <c r="AC180" s="12">
        <v>109540</v>
      </c>
      <c r="AD180" s="12">
        <v>109590</v>
      </c>
      <c r="AE180" s="11">
        <v>111260</v>
      </c>
      <c r="AF180" s="11">
        <v>111280</v>
      </c>
      <c r="AG180" s="11">
        <v>111140</v>
      </c>
      <c r="AH180" s="11">
        <v>111210</v>
      </c>
    </row>
    <row r="181" spans="19:34" x14ac:dyDescent="0.25">
      <c r="S181" s="12">
        <v>107200</v>
      </c>
      <c r="T181" s="12">
        <v>107200</v>
      </c>
      <c r="U181" s="12">
        <v>107200</v>
      </c>
      <c r="V181" s="12">
        <v>107200</v>
      </c>
      <c r="W181" s="11">
        <v>115000</v>
      </c>
      <c r="X181" s="11">
        <v>115010</v>
      </c>
      <c r="Y181" s="11">
        <v>114970</v>
      </c>
      <c r="Z181" s="11">
        <v>115000</v>
      </c>
      <c r="AA181" s="11">
        <v>109580</v>
      </c>
      <c r="AB181" s="11">
        <v>109660</v>
      </c>
      <c r="AC181" s="11">
        <v>109580</v>
      </c>
      <c r="AD181" s="11">
        <v>109630</v>
      </c>
      <c r="AE181" s="12">
        <v>111210</v>
      </c>
      <c r="AF181" s="12">
        <v>111230</v>
      </c>
      <c r="AG181" s="12">
        <v>111170</v>
      </c>
      <c r="AH181" s="12">
        <v>111210</v>
      </c>
    </row>
    <row r="182" spans="19:34" x14ac:dyDescent="0.25">
      <c r="S182" s="11">
        <v>107190</v>
      </c>
      <c r="T182" s="11">
        <v>107190</v>
      </c>
      <c r="U182" s="11">
        <v>107190</v>
      </c>
      <c r="V182" s="11">
        <v>107190</v>
      </c>
      <c r="W182" s="12">
        <v>115000</v>
      </c>
      <c r="X182" s="12">
        <v>115040</v>
      </c>
      <c r="Y182" s="12">
        <v>114990</v>
      </c>
      <c r="Z182" s="12">
        <v>115000</v>
      </c>
      <c r="AA182" s="12">
        <v>109630</v>
      </c>
      <c r="AB182" s="12">
        <v>109720</v>
      </c>
      <c r="AC182" s="12">
        <v>109620</v>
      </c>
      <c r="AD182" s="12">
        <v>109710</v>
      </c>
      <c r="AE182" s="11">
        <v>111210</v>
      </c>
      <c r="AF182" s="11">
        <v>111300</v>
      </c>
      <c r="AG182" s="11">
        <v>111200</v>
      </c>
      <c r="AH182" s="11">
        <v>111300</v>
      </c>
    </row>
    <row r="183" spans="19:34" x14ac:dyDescent="0.25">
      <c r="S183" s="12">
        <v>107250</v>
      </c>
      <c r="T183" s="12">
        <v>107260</v>
      </c>
      <c r="U183" s="12">
        <v>107250</v>
      </c>
      <c r="V183" s="12">
        <v>107260</v>
      </c>
      <c r="W183" s="11">
        <v>115000</v>
      </c>
      <c r="X183" s="11">
        <v>115010</v>
      </c>
      <c r="Y183" s="11">
        <v>114960</v>
      </c>
      <c r="Z183" s="11">
        <v>114970</v>
      </c>
      <c r="AA183" s="11">
        <v>109690</v>
      </c>
      <c r="AB183" s="11">
        <v>109710</v>
      </c>
      <c r="AC183" s="11">
        <v>109660</v>
      </c>
      <c r="AD183" s="11">
        <v>109670</v>
      </c>
      <c r="AE183" s="12">
        <v>111290</v>
      </c>
      <c r="AF183" s="12">
        <v>111450</v>
      </c>
      <c r="AG183" s="12">
        <v>111290</v>
      </c>
      <c r="AH183" s="12">
        <v>111440</v>
      </c>
    </row>
    <row r="184" spans="19:34" x14ac:dyDescent="0.25">
      <c r="S184" s="11">
        <v>107260</v>
      </c>
      <c r="T184" s="11">
        <v>107260</v>
      </c>
      <c r="U184" s="11">
        <v>107220</v>
      </c>
      <c r="V184" s="11">
        <v>107220</v>
      </c>
      <c r="W184" s="12">
        <v>114960</v>
      </c>
      <c r="X184" s="12">
        <v>114960</v>
      </c>
      <c r="Y184" s="12">
        <v>114930</v>
      </c>
      <c r="Z184" s="12">
        <v>114940</v>
      </c>
      <c r="AA184" s="12">
        <v>109660</v>
      </c>
      <c r="AB184" s="12">
        <v>109680</v>
      </c>
      <c r="AC184" s="12">
        <v>109630</v>
      </c>
      <c r="AD184" s="12">
        <v>109630</v>
      </c>
      <c r="AE184" s="11">
        <v>111440</v>
      </c>
      <c r="AF184" s="11">
        <v>111560</v>
      </c>
      <c r="AG184" s="11">
        <v>111430</v>
      </c>
      <c r="AH184" s="11">
        <v>111510</v>
      </c>
    </row>
    <row r="185" spans="19:34" x14ac:dyDescent="0.25">
      <c r="S185" s="12">
        <v>107200</v>
      </c>
      <c r="T185" s="12">
        <v>107200</v>
      </c>
      <c r="U185" s="12">
        <v>107120</v>
      </c>
      <c r="V185" s="12">
        <v>107160</v>
      </c>
      <c r="W185" s="11">
        <v>114950</v>
      </c>
      <c r="X185" s="11">
        <v>115000</v>
      </c>
      <c r="Y185" s="11">
        <v>114950</v>
      </c>
      <c r="Z185" s="11">
        <v>114990</v>
      </c>
      <c r="AA185" s="11">
        <v>109640</v>
      </c>
      <c r="AB185" s="11">
        <v>109670</v>
      </c>
      <c r="AC185" s="11">
        <v>109590</v>
      </c>
      <c r="AD185" s="11">
        <v>109600</v>
      </c>
      <c r="AE185" s="12">
        <v>111510</v>
      </c>
      <c r="AF185" s="12">
        <v>111520</v>
      </c>
      <c r="AG185" s="12">
        <v>111420</v>
      </c>
      <c r="AH185" s="12">
        <v>111500</v>
      </c>
    </row>
    <row r="186" spans="19:34" x14ac:dyDescent="0.25">
      <c r="S186" s="11">
        <v>107170</v>
      </c>
      <c r="T186" s="11">
        <v>107180</v>
      </c>
      <c r="U186" s="11">
        <v>107170</v>
      </c>
      <c r="V186" s="11">
        <v>107180</v>
      </c>
      <c r="W186" s="12">
        <v>115000</v>
      </c>
      <c r="X186" s="12">
        <v>115010</v>
      </c>
      <c r="Y186" s="12">
        <v>114960</v>
      </c>
      <c r="Z186" s="12">
        <v>114990</v>
      </c>
      <c r="AA186" s="12">
        <v>109600</v>
      </c>
      <c r="AB186" s="12">
        <v>109740</v>
      </c>
      <c r="AC186" s="12">
        <v>109590</v>
      </c>
      <c r="AD186" s="12">
        <v>109700</v>
      </c>
      <c r="AE186" s="11">
        <v>111500</v>
      </c>
      <c r="AF186" s="11">
        <v>111540</v>
      </c>
      <c r="AG186" s="11">
        <v>111460</v>
      </c>
      <c r="AH186" s="11">
        <v>111490</v>
      </c>
    </row>
    <row r="187" spans="19:34" x14ac:dyDescent="0.25">
      <c r="S187" s="12">
        <v>107110</v>
      </c>
      <c r="T187" s="12">
        <v>107180</v>
      </c>
      <c r="U187" s="12">
        <v>107100</v>
      </c>
      <c r="V187" s="12">
        <v>107180</v>
      </c>
      <c r="W187" s="11">
        <v>114980</v>
      </c>
      <c r="X187" s="11">
        <v>115050</v>
      </c>
      <c r="Y187" s="11">
        <v>114960</v>
      </c>
      <c r="Z187" s="11">
        <v>114970</v>
      </c>
      <c r="AA187" s="11">
        <v>109710</v>
      </c>
      <c r="AB187" s="11">
        <v>109810</v>
      </c>
      <c r="AC187" s="11">
        <v>109640</v>
      </c>
      <c r="AD187" s="11">
        <v>109650</v>
      </c>
      <c r="AE187" s="12">
        <v>111490</v>
      </c>
      <c r="AF187" s="12">
        <v>111510</v>
      </c>
      <c r="AG187" s="12">
        <v>111450</v>
      </c>
      <c r="AH187" s="12">
        <v>111490</v>
      </c>
    </row>
    <row r="188" spans="19:34" x14ac:dyDescent="0.25">
      <c r="S188" s="11">
        <v>107230</v>
      </c>
      <c r="T188" s="11">
        <v>107230</v>
      </c>
      <c r="U188" s="11">
        <v>107230</v>
      </c>
      <c r="V188" s="11">
        <v>107230</v>
      </c>
      <c r="W188" s="12">
        <v>114970</v>
      </c>
      <c r="X188" s="12">
        <v>114980</v>
      </c>
      <c r="Y188" s="12">
        <v>114900</v>
      </c>
      <c r="Z188" s="12">
        <v>114920</v>
      </c>
      <c r="AA188" s="12">
        <v>109650</v>
      </c>
      <c r="AB188" s="12">
        <v>109720</v>
      </c>
      <c r="AC188" s="12">
        <v>109630</v>
      </c>
      <c r="AD188" s="12">
        <v>109650</v>
      </c>
      <c r="AE188" s="11">
        <v>111500</v>
      </c>
      <c r="AF188" s="11">
        <v>111520</v>
      </c>
      <c r="AG188" s="11">
        <v>111460</v>
      </c>
      <c r="AH188" s="11">
        <v>111510</v>
      </c>
    </row>
    <row r="189" spans="19:34" x14ac:dyDescent="0.25">
      <c r="S189" s="12">
        <v>107230</v>
      </c>
      <c r="T189" s="12">
        <v>107260</v>
      </c>
      <c r="U189" s="12">
        <v>107230</v>
      </c>
      <c r="V189" s="12">
        <v>107260</v>
      </c>
      <c r="W189" s="11">
        <v>114930</v>
      </c>
      <c r="X189" s="11">
        <v>114940</v>
      </c>
      <c r="Y189" s="11">
        <v>114900</v>
      </c>
      <c r="Z189" s="11">
        <v>114920</v>
      </c>
      <c r="AA189" s="11">
        <v>109650</v>
      </c>
      <c r="AB189" s="11">
        <v>109660</v>
      </c>
      <c r="AC189" s="11">
        <v>109600</v>
      </c>
      <c r="AD189" s="11">
        <v>109620</v>
      </c>
      <c r="AE189" s="12">
        <v>111490</v>
      </c>
      <c r="AF189" s="12">
        <v>111510</v>
      </c>
      <c r="AG189" s="12">
        <v>111420</v>
      </c>
      <c r="AH189" s="12">
        <v>111480</v>
      </c>
    </row>
    <row r="190" spans="19:34" x14ac:dyDescent="0.25">
      <c r="S190" s="11">
        <v>107300</v>
      </c>
      <c r="T190" s="11">
        <v>107310</v>
      </c>
      <c r="U190" s="11">
        <v>107300</v>
      </c>
      <c r="V190" s="11">
        <v>107310</v>
      </c>
      <c r="W190" s="12">
        <v>114900</v>
      </c>
      <c r="X190" s="12">
        <v>114930</v>
      </c>
      <c r="Y190" s="12">
        <v>114900</v>
      </c>
      <c r="Z190" s="12">
        <v>114930</v>
      </c>
      <c r="AA190" s="12">
        <v>109610</v>
      </c>
      <c r="AB190" s="12">
        <v>109750</v>
      </c>
      <c r="AC190" s="12">
        <v>109610</v>
      </c>
      <c r="AD190" s="12">
        <v>109750</v>
      </c>
      <c r="AE190" s="11">
        <v>111480</v>
      </c>
      <c r="AF190" s="11">
        <v>111480</v>
      </c>
      <c r="AG190" s="11">
        <v>111430</v>
      </c>
      <c r="AH190" s="11">
        <v>111470</v>
      </c>
    </row>
    <row r="191" spans="19:34" x14ac:dyDescent="0.25">
      <c r="S191" s="12">
        <v>107320</v>
      </c>
      <c r="T191" s="12">
        <v>107390</v>
      </c>
      <c r="U191" s="12">
        <v>107270</v>
      </c>
      <c r="V191" s="12">
        <v>107390</v>
      </c>
      <c r="W191" s="11">
        <v>114920</v>
      </c>
      <c r="X191" s="11">
        <v>114950</v>
      </c>
      <c r="Y191" s="11">
        <v>114900</v>
      </c>
      <c r="Z191" s="11">
        <v>114910</v>
      </c>
      <c r="AA191" s="11">
        <v>109750</v>
      </c>
      <c r="AB191" s="11">
        <v>109780</v>
      </c>
      <c r="AC191" s="11">
        <v>109640</v>
      </c>
      <c r="AD191" s="11">
        <v>109660</v>
      </c>
      <c r="AE191" s="12">
        <v>111450</v>
      </c>
      <c r="AF191" s="12">
        <v>111490</v>
      </c>
      <c r="AG191" s="12">
        <v>111410</v>
      </c>
      <c r="AH191" s="12">
        <v>111410</v>
      </c>
    </row>
    <row r="192" spans="19:34" x14ac:dyDescent="0.25">
      <c r="S192" s="11">
        <v>107390</v>
      </c>
      <c r="T192" s="11">
        <v>107410</v>
      </c>
      <c r="U192" s="11">
        <v>107320</v>
      </c>
      <c r="V192" s="11">
        <v>107320</v>
      </c>
      <c r="W192" s="12">
        <v>114910</v>
      </c>
      <c r="X192" s="12">
        <v>114940</v>
      </c>
      <c r="Y192" s="12">
        <v>114810</v>
      </c>
      <c r="Z192" s="12">
        <v>114820</v>
      </c>
      <c r="AA192" s="12">
        <v>109660</v>
      </c>
      <c r="AB192" s="12">
        <v>109720</v>
      </c>
      <c r="AC192" s="12">
        <v>109630</v>
      </c>
      <c r="AD192" s="12">
        <v>109660</v>
      </c>
      <c r="AE192" s="11">
        <v>111430</v>
      </c>
      <c r="AF192" s="11">
        <v>111470</v>
      </c>
      <c r="AG192" s="11">
        <v>111400</v>
      </c>
      <c r="AH192" s="11">
        <v>111440</v>
      </c>
    </row>
    <row r="193" spans="19:34" x14ac:dyDescent="0.25">
      <c r="S193" s="12">
        <v>107330</v>
      </c>
      <c r="T193" s="12">
        <v>107350</v>
      </c>
      <c r="U193" s="12">
        <v>107300</v>
      </c>
      <c r="V193" s="12">
        <v>107320</v>
      </c>
      <c r="W193" s="11">
        <v>114820</v>
      </c>
      <c r="X193" s="11">
        <v>114870</v>
      </c>
      <c r="Y193" s="11">
        <v>114800</v>
      </c>
      <c r="Z193" s="11">
        <v>114860</v>
      </c>
      <c r="AA193" s="11">
        <v>109650</v>
      </c>
      <c r="AB193" s="11">
        <v>109650</v>
      </c>
      <c r="AC193" s="11">
        <v>109560</v>
      </c>
      <c r="AD193" s="11">
        <v>109610</v>
      </c>
      <c r="AE193" s="12">
        <v>111430</v>
      </c>
      <c r="AF193" s="12">
        <v>111460</v>
      </c>
      <c r="AG193" s="12">
        <v>111380</v>
      </c>
      <c r="AH193" s="12">
        <v>111400</v>
      </c>
    </row>
    <row r="194" spans="19:34" x14ac:dyDescent="0.25">
      <c r="S194" s="11">
        <v>107300</v>
      </c>
      <c r="T194" s="11">
        <v>107310</v>
      </c>
      <c r="U194" s="11">
        <v>107300</v>
      </c>
      <c r="V194" s="11">
        <v>107310</v>
      </c>
      <c r="W194" s="12">
        <v>114870</v>
      </c>
      <c r="X194" s="12">
        <v>114870</v>
      </c>
      <c r="Y194" s="12">
        <v>114800</v>
      </c>
      <c r="Z194" s="12">
        <v>114830</v>
      </c>
      <c r="AA194" s="12">
        <v>109610</v>
      </c>
      <c r="AB194" s="12">
        <v>109650</v>
      </c>
      <c r="AC194" s="12">
        <v>109580</v>
      </c>
      <c r="AD194" s="12">
        <v>109650</v>
      </c>
      <c r="AE194" s="11">
        <v>111390</v>
      </c>
      <c r="AF194" s="11">
        <v>111400</v>
      </c>
      <c r="AG194" s="11">
        <v>111320</v>
      </c>
      <c r="AH194" s="11">
        <v>111380</v>
      </c>
    </row>
    <row r="195" spans="19:34" x14ac:dyDescent="0.25">
      <c r="S195" s="12">
        <v>107310</v>
      </c>
      <c r="T195" s="12">
        <v>107320</v>
      </c>
      <c r="U195" s="12">
        <v>107280</v>
      </c>
      <c r="V195" s="12">
        <v>107320</v>
      </c>
      <c r="W195" s="11">
        <v>114820</v>
      </c>
      <c r="X195" s="11">
        <v>114820</v>
      </c>
      <c r="Y195" s="11">
        <v>114770</v>
      </c>
      <c r="Z195" s="11">
        <v>114800</v>
      </c>
      <c r="AA195" s="11">
        <v>109650</v>
      </c>
      <c r="AB195" s="11">
        <v>109650</v>
      </c>
      <c r="AC195" s="11">
        <v>109560</v>
      </c>
      <c r="AD195" s="11">
        <v>109620</v>
      </c>
      <c r="AE195" s="12">
        <v>111370</v>
      </c>
      <c r="AF195" s="12">
        <v>111370</v>
      </c>
      <c r="AG195" s="12">
        <v>111280</v>
      </c>
      <c r="AH195" s="12">
        <v>111290</v>
      </c>
    </row>
    <row r="196" spans="19:34" x14ac:dyDescent="0.25">
      <c r="S196" s="11">
        <v>107370</v>
      </c>
      <c r="T196" s="11">
        <v>107400</v>
      </c>
      <c r="U196" s="11">
        <v>107370</v>
      </c>
      <c r="V196" s="11">
        <v>107400</v>
      </c>
      <c r="W196" s="12">
        <v>114800</v>
      </c>
      <c r="X196" s="12">
        <v>114860</v>
      </c>
      <c r="Y196" s="12">
        <v>114780</v>
      </c>
      <c r="Z196" s="12">
        <v>114830</v>
      </c>
      <c r="AA196" s="12">
        <v>109620</v>
      </c>
      <c r="AB196" s="12">
        <v>109640</v>
      </c>
      <c r="AC196" s="12">
        <v>109600</v>
      </c>
      <c r="AD196" s="12">
        <v>109620</v>
      </c>
      <c r="AE196" s="11">
        <v>111280</v>
      </c>
      <c r="AF196" s="11">
        <v>111330</v>
      </c>
      <c r="AG196" s="11">
        <v>111280</v>
      </c>
      <c r="AH196" s="11">
        <v>111290</v>
      </c>
    </row>
    <row r="197" spans="19:34" x14ac:dyDescent="0.25">
      <c r="S197" s="12">
        <v>107450</v>
      </c>
      <c r="T197" s="12">
        <v>107890</v>
      </c>
      <c r="U197" s="12">
        <v>107450</v>
      </c>
      <c r="V197" s="12">
        <v>107610</v>
      </c>
      <c r="W197" s="11">
        <v>114820</v>
      </c>
      <c r="X197" s="11">
        <v>114830</v>
      </c>
      <c r="Y197" s="11">
        <v>114710</v>
      </c>
      <c r="Z197" s="11">
        <v>114770</v>
      </c>
      <c r="AA197" s="11">
        <v>109620</v>
      </c>
      <c r="AB197" s="11">
        <v>109660</v>
      </c>
      <c r="AC197" s="11">
        <v>109540</v>
      </c>
      <c r="AD197" s="11">
        <v>109570</v>
      </c>
      <c r="AE197" s="12">
        <v>111290</v>
      </c>
      <c r="AF197" s="12">
        <v>111360</v>
      </c>
      <c r="AG197" s="12">
        <v>111260</v>
      </c>
      <c r="AH197" s="12">
        <v>111360</v>
      </c>
    </row>
    <row r="198" spans="19:34" x14ac:dyDescent="0.25">
      <c r="S198" s="11">
        <v>107640</v>
      </c>
      <c r="T198" s="11">
        <v>107750</v>
      </c>
      <c r="U198" s="11">
        <v>107610</v>
      </c>
      <c r="V198" s="11">
        <v>107690</v>
      </c>
      <c r="W198" s="12">
        <v>114750</v>
      </c>
      <c r="X198" s="12">
        <v>114810</v>
      </c>
      <c r="Y198" s="12">
        <v>114740</v>
      </c>
      <c r="Z198" s="12">
        <v>114760</v>
      </c>
      <c r="AA198" s="12">
        <v>109570</v>
      </c>
      <c r="AB198" s="12">
        <v>109580</v>
      </c>
      <c r="AC198" s="12">
        <v>109530</v>
      </c>
      <c r="AD198" s="12">
        <v>109540</v>
      </c>
      <c r="AE198" s="11">
        <v>111360</v>
      </c>
      <c r="AF198" s="11">
        <v>111400</v>
      </c>
      <c r="AG198" s="11">
        <v>111340</v>
      </c>
      <c r="AH198" s="11">
        <v>111400</v>
      </c>
    </row>
    <row r="199" spans="19:34" x14ac:dyDescent="0.25">
      <c r="S199" s="12">
        <v>107740</v>
      </c>
      <c r="T199" s="12">
        <v>108100</v>
      </c>
      <c r="U199" s="12">
        <v>107740</v>
      </c>
      <c r="V199" s="12">
        <v>108090</v>
      </c>
      <c r="W199" s="11">
        <v>114760</v>
      </c>
      <c r="X199" s="11">
        <v>114800</v>
      </c>
      <c r="Y199" s="11">
        <v>114740</v>
      </c>
      <c r="Z199" s="11">
        <v>114770</v>
      </c>
      <c r="AA199" s="11">
        <v>109540</v>
      </c>
      <c r="AB199" s="11">
        <v>109610</v>
      </c>
      <c r="AC199" s="11">
        <v>109540</v>
      </c>
      <c r="AD199" s="11">
        <v>109560</v>
      </c>
      <c r="AE199" s="12">
        <v>111390</v>
      </c>
      <c r="AF199" s="12">
        <v>111400</v>
      </c>
      <c r="AG199" s="12">
        <v>111330</v>
      </c>
      <c r="AH199" s="12">
        <v>111330</v>
      </c>
    </row>
    <row r="200" spans="19:34" x14ac:dyDescent="0.25">
      <c r="S200" s="11">
        <v>108060</v>
      </c>
      <c r="T200" s="11">
        <v>108370</v>
      </c>
      <c r="U200" s="11">
        <v>108060</v>
      </c>
      <c r="V200" s="11">
        <v>108120</v>
      </c>
      <c r="W200" s="12">
        <v>114760</v>
      </c>
      <c r="X200" s="12">
        <v>114790</v>
      </c>
      <c r="Y200" s="12">
        <v>114750</v>
      </c>
      <c r="Z200" s="12">
        <v>114790</v>
      </c>
      <c r="AA200" s="12">
        <v>109570</v>
      </c>
      <c r="AB200" s="12">
        <v>109590</v>
      </c>
      <c r="AC200" s="12">
        <v>109530</v>
      </c>
      <c r="AD200" s="12">
        <v>109560</v>
      </c>
      <c r="AE200" s="11">
        <v>111330</v>
      </c>
      <c r="AF200" s="11">
        <v>111380</v>
      </c>
      <c r="AG200" s="11">
        <v>111330</v>
      </c>
      <c r="AH200" s="11">
        <v>111360</v>
      </c>
    </row>
    <row r="201" spans="19:34" x14ac:dyDescent="0.25">
      <c r="S201" s="12">
        <v>108100</v>
      </c>
      <c r="T201" s="12">
        <v>108120</v>
      </c>
      <c r="U201" s="12">
        <v>107980</v>
      </c>
      <c r="V201" s="12">
        <v>108120</v>
      </c>
      <c r="W201" s="11">
        <v>114770</v>
      </c>
      <c r="X201" s="11">
        <v>114810</v>
      </c>
      <c r="Y201" s="11">
        <v>114770</v>
      </c>
      <c r="Z201" s="11">
        <v>114800</v>
      </c>
      <c r="AA201" s="11">
        <v>109550</v>
      </c>
      <c r="AB201" s="11">
        <v>109570</v>
      </c>
      <c r="AC201" s="11">
        <v>109460</v>
      </c>
      <c r="AD201" s="11">
        <v>109510</v>
      </c>
      <c r="AE201" s="12">
        <v>111360</v>
      </c>
      <c r="AF201" s="12">
        <v>111360</v>
      </c>
      <c r="AG201" s="12">
        <v>111280</v>
      </c>
      <c r="AH201" s="12">
        <v>111280</v>
      </c>
    </row>
    <row r="202" spans="19:34" x14ac:dyDescent="0.25">
      <c r="S202" s="11">
        <v>108120</v>
      </c>
      <c r="T202" s="11">
        <v>108210</v>
      </c>
      <c r="U202" s="11">
        <v>108120</v>
      </c>
      <c r="V202" s="11">
        <v>108210</v>
      </c>
      <c r="W202" s="12">
        <v>114800</v>
      </c>
      <c r="X202" s="12">
        <v>114840</v>
      </c>
      <c r="Y202" s="12">
        <v>114790</v>
      </c>
      <c r="Z202" s="12">
        <v>114830</v>
      </c>
      <c r="AA202" s="12">
        <v>109490</v>
      </c>
      <c r="AB202" s="12">
        <v>109510</v>
      </c>
      <c r="AC202" s="12">
        <v>109410</v>
      </c>
      <c r="AD202" s="12">
        <v>109440</v>
      </c>
      <c r="AE202" s="11">
        <v>111290</v>
      </c>
      <c r="AF202" s="11">
        <v>111370</v>
      </c>
      <c r="AG202" s="11">
        <v>111280</v>
      </c>
      <c r="AH202" s="11">
        <v>111360</v>
      </c>
    </row>
    <row r="203" spans="19:34" x14ac:dyDescent="0.25">
      <c r="S203" s="12">
        <v>108240</v>
      </c>
      <c r="T203" s="12">
        <v>108330</v>
      </c>
      <c r="U203" s="12">
        <v>108080</v>
      </c>
      <c r="V203" s="12">
        <v>108080</v>
      </c>
      <c r="W203" s="11">
        <v>114830</v>
      </c>
      <c r="X203" s="11">
        <v>114850</v>
      </c>
      <c r="Y203" s="11">
        <v>114820</v>
      </c>
      <c r="Z203" s="11">
        <v>114840</v>
      </c>
      <c r="AA203" s="11">
        <v>109440</v>
      </c>
      <c r="AB203" s="11">
        <v>109500</v>
      </c>
      <c r="AC203" s="11">
        <v>109440</v>
      </c>
      <c r="AD203" s="11">
        <v>109490</v>
      </c>
      <c r="AE203" s="12">
        <v>111360</v>
      </c>
      <c r="AF203" s="12">
        <v>111390</v>
      </c>
      <c r="AG203" s="12">
        <v>111330</v>
      </c>
      <c r="AH203" s="12">
        <v>111350</v>
      </c>
    </row>
    <row r="204" spans="19:34" x14ac:dyDescent="0.25">
      <c r="S204" s="11">
        <v>108080</v>
      </c>
      <c r="T204" s="11">
        <v>108160</v>
      </c>
      <c r="U204" s="11">
        <v>108070</v>
      </c>
      <c r="V204" s="11">
        <v>108160</v>
      </c>
      <c r="W204" s="12">
        <v>114840</v>
      </c>
      <c r="X204" s="12">
        <v>114850</v>
      </c>
      <c r="Y204" s="12">
        <v>114800</v>
      </c>
      <c r="Z204" s="12">
        <v>114810</v>
      </c>
      <c r="AA204" s="12">
        <v>109480</v>
      </c>
      <c r="AB204" s="12">
        <v>109500</v>
      </c>
      <c r="AC204" s="12">
        <v>109440</v>
      </c>
      <c r="AD204" s="12">
        <v>109470</v>
      </c>
      <c r="AE204" s="11">
        <v>111350</v>
      </c>
      <c r="AF204" s="11">
        <v>111360</v>
      </c>
      <c r="AG204" s="11">
        <v>111300</v>
      </c>
      <c r="AH204" s="11">
        <v>111350</v>
      </c>
    </row>
    <row r="205" spans="19:34" x14ac:dyDescent="0.25">
      <c r="S205" s="12">
        <v>108140</v>
      </c>
      <c r="T205" s="12">
        <v>108280</v>
      </c>
      <c r="U205" s="12">
        <v>108140</v>
      </c>
      <c r="V205" s="12">
        <v>108280</v>
      </c>
      <c r="W205" s="11">
        <v>114820</v>
      </c>
      <c r="X205" s="11">
        <v>114880</v>
      </c>
      <c r="Y205" s="11">
        <v>114810</v>
      </c>
      <c r="Z205" s="11">
        <v>114850</v>
      </c>
      <c r="AA205" s="11">
        <v>109470</v>
      </c>
      <c r="AB205" s="11">
        <v>109500</v>
      </c>
      <c r="AC205" s="11">
        <v>109440</v>
      </c>
      <c r="AD205" s="11">
        <v>109470</v>
      </c>
      <c r="AE205" s="12">
        <v>111340</v>
      </c>
      <c r="AF205" s="12">
        <v>111370</v>
      </c>
      <c r="AG205" s="12">
        <v>111320</v>
      </c>
      <c r="AH205" s="12">
        <v>111330</v>
      </c>
    </row>
    <row r="206" spans="19:34" x14ac:dyDescent="0.25">
      <c r="S206" s="11">
        <v>108300</v>
      </c>
      <c r="T206" s="11">
        <v>108400</v>
      </c>
      <c r="U206" s="11">
        <v>108270</v>
      </c>
      <c r="V206" s="11">
        <v>108330</v>
      </c>
      <c r="W206" s="12">
        <v>114850</v>
      </c>
      <c r="X206" s="12">
        <v>114930</v>
      </c>
      <c r="Y206" s="12">
        <v>114850</v>
      </c>
      <c r="Z206" s="12">
        <v>114900</v>
      </c>
      <c r="AA206" s="12">
        <v>109450</v>
      </c>
      <c r="AB206" s="12">
        <v>109700</v>
      </c>
      <c r="AC206" s="12">
        <v>109440</v>
      </c>
      <c r="AD206" s="12">
        <v>109640</v>
      </c>
      <c r="AE206" s="11">
        <v>111330</v>
      </c>
      <c r="AF206" s="11">
        <v>111410</v>
      </c>
      <c r="AG206" s="11">
        <v>111320</v>
      </c>
      <c r="AH206" s="11">
        <v>111380</v>
      </c>
    </row>
    <row r="207" spans="19:34" x14ac:dyDescent="0.25">
      <c r="S207" s="12">
        <v>108330</v>
      </c>
      <c r="T207" s="12">
        <v>108330</v>
      </c>
      <c r="U207" s="12">
        <v>108200</v>
      </c>
      <c r="V207" s="12">
        <v>108270</v>
      </c>
      <c r="W207" s="11">
        <v>114900</v>
      </c>
      <c r="X207" s="11">
        <v>114910</v>
      </c>
      <c r="Y207" s="11">
        <v>114870</v>
      </c>
      <c r="Z207" s="11">
        <v>114900</v>
      </c>
      <c r="AA207" s="11">
        <v>109630</v>
      </c>
      <c r="AB207" s="11">
        <v>109650</v>
      </c>
      <c r="AC207" s="11">
        <v>109570</v>
      </c>
      <c r="AD207" s="11">
        <v>109630</v>
      </c>
      <c r="AE207" s="12">
        <v>111380</v>
      </c>
      <c r="AF207" s="12">
        <v>111390</v>
      </c>
      <c r="AG207" s="12">
        <v>111340</v>
      </c>
      <c r="AH207" s="12">
        <v>111340</v>
      </c>
    </row>
    <row r="208" spans="19:34" x14ac:dyDescent="0.25">
      <c r="S208" s="11">
        <v>108170</v>
      </c>
      <c r="T208" s="11">
        <v>108170</v>
      </c>
      <c r="U208" s="11">
        <v>108150</v>
      </c>
      <c r="V208" s="11">
        <v>108150</v>
      </c>
      <c r="W208" s="12">
        <v>114890</v>
      </c>
      <c r="X208" s="12">
        <v>114970</v>
      </c>
      <c r="Y208" s="12">
        <v>114890</v>
      </c>
      <c r="Z208" s="12">
        <v>114920</v>
      </c>
      <c r="AA208" s="12">
        <v>109620</v>
      </c>
      <c r="AB208" s="12">
        <v>109670</v>
      </c>
      <c r="AC208" s="12">
        <v>109600</v>
      </c>
      <c r="AD208" s="12">
        <v>109610</v>
      </c>
      <c r="AE208" s="11">
        <v>111360</v>
      </c>
      <c r="AF208" s="11">
        <v>111380</v>
      </c>
      <c r="AG208" s="11">
        <v>111330</v>
      </c>
      <c r="AH208" s="11">
        <v>111360</v>
      </c>
    </row>
    <row r="209" spans="19:34" x14ac:dyDescent="0.25">
      <c r="S209" s="12">
        <v>108200</v>
      </c>
      <c r="T209" s="12">
        <v>108210</v>
      </c>
      <c r="U209" s="12">
        <v>108160</v>
      </c>
      <c r="V209" s="12">
        <v>108210</v>
      </c>
      <c r="W209" s="11">
        <v>114920</v>
      </c>
      <c r="X209" s="11">
        <v>114930</v>
      </c>
      <c r="Y209" s="11">
        <v>114910</v>
      </c>
      <c r="Z209" s="11">
        <v>114930</v>
      </c>
      <c r="AA209" s="11">
        <v>109620</v>
      </c>
      <c r="AB209" s="11">
        <v>109620</v>
      </c>
      <c r="AC209" s="11">
        <v>109590</v>
      </c>
      <c r="AD209" s="11">
        <v>109610</v>
      </c>
      <c r="AE209" s="12">
        <v>111360</v>
      </c>
      <c r="AF209" s="12">
        <v>111420</v>
      </c>
      <c r="AG209" s="12">
        <v>111360</v>
      </c>
      <c r="AH209" s="12">
        <v>111410</v>
      </c>
    </row>
    <row r="210" spans="19:34" x14ac:dyDescent="0.25">
      <c r="S210" s="11">
        <v>108210</v>
      </c>
      <c r="T210" s="11">
        <v>108280</v>
      </c>
      <c r="U210" s="11">
        <v>108210</v>
      </c>
      <c r="V210" s="11">
        <v>108280</v>
      </c>
      <c r="W210" s="12">
        <v>114930</v>
      </c>
      <c r="X210" s="12">
        <v>114930</v>
      </c>
      <c r="Y210" s="12">
        <v>114880</v>
      </c>
      <c r="Z210" s="12">
        <v>114890</v>
      </c>
      <c r="AA210" s="12">
        <v>109620</v>
      </c>
      <c r="AB210" s="12">
        <v>109650</v>
      </c>
      <c r="AC210" s="12">
        <v>109560</v>
      </c>
      <c r="AD210" s="12">
        <v>109580</v>
      </c>
      <c r="AE210" s="11">
        <v>111410</v>
      </c>
      <c r="AF210" s="11">
        <v>111440</v>
      </c>
      <c r="AG210" s="11">
        <v>111380</v>
      </c>
      <c r="AH210" s="11">
        <v>111430</v>
      </c>
    </row>
    <row r="211" spans="19:34" x14ac:dyDescent="0.25">
      <c r="S211" s="12">
        <v>108250</v>
      </c>
      <c r="T211" s="12">
        <v>108420</v>
      </c>
      <c r="U211" s="12">
        <v>108250</v>
      </c>
      <c r="V211" s="12">
        <v>108400</v>
      </c>
      <c r="W211" s="11">
        <v>114890</v>
      </c>
      <c r="X211" s="11">
        <v>114940</v>
      </c>
      <c r="Y211" s="11">
        <v>114890</v>
      </c>
      <c r="Z211" s="11">
        <v>114930</v>
      </c>
      <c r="AA211" s="11">
        <v>109570</v>
      </c>
      <c r="AB211" s="11">
        <v>109610</v>
      </c>
      <c r="AC211" s="11">
        <v>109520</v>
      </c>
      <c r="AD211" s="11">
        <v>109600</v>
      </c>
      <c r="AE211" s="12">
        <v>111440</v>
      </c>
      <c r="AF211" s="12">
        <v>111480</v>
      </c>
      <c r="AG211" s="12">
        <v>111420</v>
      </c>
      <c r="AH211" s="12">
        <v>111480</v>
      </c>
    </row>
    <row r="212" spans="19:34" x14ac:dyDescent="0.25">
      <c r="S212" s="11">
        <v>108400</v>
      </c>
      <c r="T212" s="11">
        <v>108440</v>
      </c>
      <c r="U212" s="11">
        <v>108370</v>
      </c>
      <c r="V212" s="11">
        <v>108380</v>
      </c>
      <c r="W212" s="12">
        <v>114920</v>
      </c>
      <c r="X212" s="12">
        <v>114930</v>
      </c>
      <c r="Y212" s="12">
        <v>114850</v>
      </c>
      <c r="Z212" s="12">
        <v>114870</v>
      </c>
      <c r="AA212" s="12">
        <v>109620</v>
      </c>
      <c r="AB212" s="12">
        <v>109620</v>
      </c>
      <c r="AC212" s="12">
        <v>109550</v>
      </c>
      <c r="AD212" s="12">
        <v>109590</v>
      </c>
      <c r="AE212" s="11">
        <v>111480</v>
      </c>
      <c r="AF212" s="11">
        <v>111710</v>
      </c>
      <c r="AG212" s="11">
        <v>111460</v>
      </c>
      <c r="AH212" s="11">
        <v>111530</v>
      </c>
    </row>
    <row r="213" spans="19:34" x14ac:dyDescent="0.25">
      <c r="S213" s="12">
        <v>108320</v>
      </c>
      <c r="T213" s="12">
        <v>108360</v>
      </c>
      <c r="U213" s="12">
        <v>108270</v>
      </c>
      <c r="V213" s="12">
        <v>108280</v>
      </c>
      <c r="W213" s="11">
        <v>114870</v>
      </c>
      <c r="X213" s="11">
        <v>114890</v>
      </c>
      <c r="Y213" s="11">
        <v>114860</v>
      </c>
      <c r="Z213" s="11">
        <v>114870</v>
      </c>
      <c r="AA213" s="11">
        <v>109580</v>
      </c>
      <c r="AB213" s="11">
        <v>109610</v>
      </c>
      <c r="AC213" s="11">
        <v>109510</v>
      </c>
      <c r="AD213" s="11">
        <v>109530</v>
      </c>
      <c r="AE213" s="12">
        <v>111540</v>
      </c>
      <c r="AF213" s="12">
        <v>111610</v>
      </c>
      <c r="AG213" s="12">
        <v>111520</v>
      </c>
      <c r="AH213" s="12">
        <v>111540</v>
      </c>
    </row>
    <row r="214" spans="19:34" x14ac:dyDescent="0.25">
      <c r="S214" s="11">
        <v>108290</v>
      </c>
      <c r="T214" s="11">
        <v>108350</v>
      </c>
      <c r="U214" s="11">
        <v>108290</v>
      </c>
      <c r="V214" s="11">
        <v>108320</v>
      </c>
      <c r="W214" s="12">
        <v>114880</v>
      </c>
      <c r="X214" s="12">
        <v>114920</v>
      </c>
      <c r="Y214" s="12">
        <v>114880</v>
      </c>
      <c r="Z214" s="12">
        <v>114890</v>
      </c>
      <c r="AA214" s="12">
        <v>109530</v>
      </c>
      <c r="AB214" s="12">
        <v>109600</v>
      </c>
      <c r="AC214" s="12">
        <v>109500</v>
      </c>
      <c r="AD214" s="12">
        <v>109590</v>
      </c>
      <c r="AE214" s="11">
        <v>111530</v>
      </c>
      <c r="AF214" s="11">
        <v>111540</v>
      </c>
      <c r="AG214" s="11">
        <v>111340</v>
      </c>
      <c r="AH214" s="11">
        <v>111360</v>
      </c>
    </row>
    <row r="215" spans="19:34" x14ac:dyDescent="0.25">
      <c r="S215" s="12">
        <v>108290</v>
      </c>
      <c r="T215" s="12">
        <v>108440</v>
      </c>
      <c r="U215" s="12">
        <v>108260</v>
      </c>
      <c r="V215" s="12">
        <v>108270</v>
      </c>
      <c r="W215" s="11">
        <v>114880</v>
      </c>
      <c r="X215" s="11">
        <v>114890</v>
      </c>
      <c r="Y215" s="11">
        <v>114860</v>
      </c>
      <c r="Z215" s="11">
        <v>114860</v>
      </c>
      <c r="AA215" s="11">
        <v>109580</v>
      </c>
      <c r="AB215" s="11">
        <v>109600</v>
      </c>
      <c r="AC215" s="11">
        <v>109460</v>
      </c>
      <c r="AD215" s="11">
        <v>109480</v>
      </c>
      <c r="AE215" s="12">
        <v>111360</v>
      </c>
      <c r="AF215" s="12">
        <v>111440</v>
      </c>
      <c r="AG215" s="12">
        <v>111350</v>
      </c>
      <c r="AH215" s="12">
        <v>111440</v>
      </c>
    </row>
    <row r="216" spans="19:34" x14ac:dyDescent="0.25">
      <c r="S216" s="11">
        <v>108270</v>
      </c>
      <c r="T216" s="11">
        <v>108390</v>
      </c>
      <c r="U216" s="11">
        <v>108250</v>
      </c>
      <c r="V216" s="11">
        <v>108300</v>
      </c>
      <c r="W216" s="12">
        <v>114860</v>
      </c>
      <c r="X216" s="12">
        <v>114920</v>
      </c>
      <c r="Y216" s="12">
        <v>114860</v>
      </c>
      <c r="Z216" s="12">
        <v>114910</v>
      </c>
      <c r="AA216" s="12">
        <v>109480</v>
      </c>
      <c r="AB216" s="12">
        <v>109590</v>
      </c>
      <c r="AC216" s="12">
        <v>109480</v>
      </c>
      <c r="AD216" s="12">
        <v>109550</v>
      </c>
      <c r="AE216" s="11">
        <v>111440</v>
      </c>
      <c r="AF216" s="11">
        <v>111510</v>
      </c>
      <c r="AG216" s="11">
        <v>111380</v>
      </c>
      <c r="AH216" s="11">
        <v>111490</v>
      </c>
    </row>
    <row r="217" spans="19:34" x14ac:dyDescent="0.25">
      <c r="S217" s="12">
        <v>108300</v>
      </c>
      <c r="T217" s="12">
        <v>108400</v>
      </c>
      <c r="U217" s="12">
        <v>108280</v>
      </c>
      <c r="V217" s="12">
        <v>108330</v>
      </c>
      <c r="W217" s="11">
        <v>114920</v>
      </c>
      <c r="X217" s="11">
        <v>114920</v>
      </c>
      <c r="Y217" s="11">
        <v>114850</v>
      </c>
      <c r="Z217" s="11">
        <v>114870</v>
      </c>
      <c r="AA217" s="11">
        <v>109560</v>
      </c>
      <c r="AB217" s="11">
        <v>109590</v>
      </c>
      <c r="AC217" s="11">
        <v>109500</v>
      </c>
      <c r="AD217" s="11">
        <v>109560</v>
      </c>
      <c r="AE217" s="12">
        <v>111470</v>
      </c>
      <c r="AF217" s="12">
        <v>111520</v>
      </c>
      <c r="AG217" s="12">
        <v>111440</v>
      </c>
      <c r="AH217" s="12">
        <v>111480</v>
      </c>
    </row>
    <row r="218" spans="19:34" x14ac:dyDescent="0.25">
      <c r="S218" s="11">
        <v>108320</v>
      </c>
      <c r="T218" s="11">
        <v>108350</v>
      </c>
      <c r="U218" s="11">
        <v>108300</v>
      </c>
      <c r="V218" s="11">
        <v>108300</v>
      </c>
      <c r="W218" s="12">
        <v>114870</v>
      </c>
      <c r="X218" s="12">
        <v>114870</v>
      </c>
      <c r="Y218" s="12">
        <v>114780</v>
      </c>
      <c r="Z218" s="12">
        <v>114820</v>
      </c>
      <c r="AA218" s="12">
        <v>109550</v>
      </c>
      <c r="AB218" s="12">
        <v>109620</v>
      </c>
      <c r="AC218" s="12">
        <v>109550</v>
      </c>
      <c r="AD218" s="12">
        <v>109570</v>
      </c>
      <c r="AE218" s="11">
        <v>111470</v>
      </c>
      <c r="AF218" s="11">
        <v>111480</v>
      </c>
      <c r="AG218" s="11">
        <v>111210</v>
      </c>
      <c r="AH218" s="11">
        <v>111210</v>
      </c>
    </row>
    <row r="219" spans="19:34" x14ac:dyDescent="0.25">
      <c r="S219" s="12">
        <v>108280</v>
      </c>
      <c r="T219" s="12">
        <v>108280</v>
      </c>
      <c r="U219" s="12">
        <v>108210</v>
      </c>
      <c r="V219" s="12">
        <v>108230</v>
      </c>
      <c r="W219" s="11">
        <v>114820</v>
      </c>
      <c r="X219" s="11">
        <v>114840</v>
      </c>
      <c r="Y219" s="11">
        <v>114800</v>
      </c>
      <c r="Z219" s="11">
        <v>114820</v>
      </c>
      <c r="AA219" s="11">
        <v>109580</v>
      </c>
      <c r="AB219" s="11">
        <v>109640</v>
      </c>
      <c r="AC219" s="11">
        <v>109580</v>
      </c>
      <c r="AD219" s="11">
        <v>109600</v>
      </c>
      <c r="AE219" s="12">
        <v>111210</v>
      </c>
      <c r="AF219" s="12">
        <v>111310</v>
      </c>
      <c r="AG219" s="12">
        <v>111170</v>
      </c>
      <c r="AH219" s="12">
        <v>111280</v>
      </c>
    </row>
    <row r="220" spans="19:34" x14ac:dyDescent="0.25">
      <c r="S220" s="11">
        <v>108270</v>
      </c>
      <c r="T220" s="11">
        <v>108270</v>
      </c>
      <c r="U220" s="11">
        <v>108110</v>
      </c>
      <c r="V220" s="11">
        <v>108120</v>
      </c>
      <c r="W220" s="12">
        <v>114820</v>
      </c>
      <c r="X220" s="12">
        <v>114840</v>
      </c>
      <c r="Y220" s="12">
        <v>114770</v>
      </c>
      <c r="Z220" s="12">
        <v>114790</v>
      </c>
      <c r="AA220" s="12">
        <v>109600</v>
      </c>
      <c r="AB220" s="12">
        <v>109650</v>
      </c>
      <c r="AC220" s="12">
        <v>109590</v>
      </c>
      <c r="AD220" s="12">
        <v>109620</v>
      </c>
      <c r="AE220" s="11">
        <v>111280</v>
      </c>
      <c r="AF220" s="11">
        <v>111360</v>
      </c>
      <c r="AG220" s="11">
        <v>111260</v>
      </c>
      <c r="AH220" s="11">
        <v>111350</v>
      </c>
    </row>
    <row r="221" spans="19:34" x14ac:dyDescent="0.25">
      <c r="S221" s="12">
        <v>108080</v>
      </c>
      <c r="T221" s="12">
        <v>108160</v>
      </c>
      <c r="U221" s="12">
        <v>108060</v>
      </c>
      <c r="V221" s="12">
        <v>108160</v>
      </c>
      <c r="W221" s="11">
        <v>114790</v>
      </c>
      <c r="X221" s="11">
        <v>114820</v>
      </c>
      <c r="Y221" s="11">
        <v>114780</v>
      </c>
      <c r="Z221" s="11">
        <v>114790</v>
      </c>
      <c r="AA221" s="11">
        <v>109620</v>
      </c>
      <c r="AB221" s="11">
        <v>109620</v>
      </c>
      <c r="AC221" s="11">
        <v>109520</v>
      </c>
      <c r="AD221" s="11">
        <v>109570</v>
      </c>
      <c r="AE221" s="12">
        <v>111360</v>
      </c>
      <c r="AF221" s="12">
        <v>111380</v>
      </c>
      <c r="AG221" s="12">
        <v>111330</v>
      </c>
      <c r="AH221" s="12">
        <v>111340</v>
      </c>
    </row>
    <row r="222" spans="19:34" x14ac:dyDescent="0.25">
      <c r="S222" s="11">
        <v>108180</v>
      </c>
      <c r="T222" s="11">
        <v>108180</v>
      </c>
      <c r="U222" s="11">
        <v>108180</v>
      </c>
      <c r="V222" s="11">
        <v>108180</v>
      </c>
      <c r="W222" s="12">
        <v>114800</v>
      </c>
      <c r="X222" s="12">
        <v>114860</v>
      </c>
      <c r="Y222" s="12">
        <v>114800</v>
      </c>
      <c r="Z222" s="12">
        <v>114840</v>
      </c>
      <c r="AA222" s="12">
        <v>109570</v>
      </c>
      <c r="AB222" s="12">
        <v>109610</v>
      </c>
      <c r="AC222" s="12">
        <v>109570</v>
      </c>
      <c r="AD222" s="12">
        <v>109580</v>
      </c>
      <c r="AE222" s="11">
        <v>111360</v>
      </c>
      <c r="AF222" s="11">
        <v>111380</v>
      </c>
      <c r="AG222" s="11">
        <v>111340</v>
      </c>
      <c r="AH222" s="11">
        <v>111370</v>
      </c>
    </row>
    <row r="223" spans="19:34" x14ac:dyDescent="0.25">
      <c r="S223" s="12">
        <v>108210</v>
      </c>
      <c r="T223" s="12">
        <v>108240</v>
      </c>
      <c r="U223" s="12">
        <v>108210</v>
      </c>
      <c r="V223" s="12">
        <v>108240</v>
      </c>
      <c r="W223" s="11">
        <v>114830</v>
      </c>
      <c r="X223" s="11">
        <v>114870</v>
      </c>
      <c r="Y223" s="11">
        <v>114820</v>
      </c>
      <c r="Z223" s="11">
        <v>114840</v>
      </c>
      <c r="AA223" s="11">
        <v>109600</v>
      </c>
      <c r="AB223" s="11">
        <v>109680</v>
      </c>
      <c r="AC223" s="11">
        <v>109600</v>
      </c>
      <c r="AD223" s="11">
        <v>109620</v>
      </c>
      <c r="AE223" s="12">
        <v>111370</v>
      </c>
      <c r="AF223" s="12">
        <v>111440</v>
      </c>
      <c r="AG223" s="12">
        <v>111370</v>
      </c>
      <c r="AH223" s="12">
        <v>111430</v>
      </c>
    </row>
    <row r="224" spans="19:34" x14ac:dyDescent="0.25">
      <c r="S224" s="11">
        <v>108190</v>
      </c>
      <c r="T224" s="11">
        <v>108190</v>
      </c>
      <c r="U224" s="11">
        <v>108160</v>
      </c>
      <c r="V224" s="11">
        <v>108160</v>
      </c>
      <c r="W224" s="12">
        <v>114830</v>
      </c>
      <c r="X224" s="12">
        <v>114840</v>
      </c>
      <c r="Y224" s="12">
        <v>114790</v>
      </c>
      <c r="Z224" s="12">
        <v>114830</v>
      </c>
      <c r="AA224" s="12">
        <v>109620</v>
      </c>
      <c r="AB224" s="12">
        <v>109650</v>
      </c>
      <c r="AC224" s="12">
        <v>109580</v>
      </c>
      <c r="AD224" s="12">
        <v>109600</v>
      </c>
      <c r="AE224" s="11">
        <v>111430</v>
      </c>
      <c r="AF224" s="11">
        <v>111460</v>
      </c>
      <c r="AG224" s="11">
        <v>111380</v>
      </c>
      <c r="AH224" s="11">
        <v>111450</v>
      </c>
    </row>
    <row r="225" spans="19:34" x14ac:dyDescent="0.25">
      <c r="S225" s="12">
        <v>108260</v>
      </c>
      <c r="T225" s="12">
        <v>108260</v>
      </c>
      <c r="U225" s="12">
        <v>108260</v>
      </c>
      <c r="V225" s="12">
        <v>108260</v>
      </c>
      <c r="W225" s="11">
        <v>114840</v>
      </c>
      <c r="X225" s="11">
        <v>114850</v>
      </c>
      <c r="Y225" s="11">
        <v>114800</v>
      </c>
      <c r="Z225" s="11">
        <v>114820</v>
      </c>
      <c r="AA225" s="11">
        <v>109590</v>
      </c>
      <c r="AB225" s="11">
        <v>109610</v>
      </c>
      <c r="AC225" s="11">
        <v>109550</v>
      </c>
      <c r="AD225" s="11">
        <v>109560</v>
      </c>
      <c r="AE225" s="12">
        <v>111450</v>
      </c>
      <c r="AF225" s="12">
        <v>111460</v>
      </c>
      <c r="AG225" s="12">
        <v>111390</v>
      </c>
      <c r="AH225" s="12">
        <v>111440</v>
      </c>
    </row>
    <row r="226" spans="19:34" x14ac:dyDescent="0.25">
      <c r="S226" s="11">
        <v>108270</v>
      </c>
      <c r="T226" s="11">
        <v>108310</v>
      </c>
      <c r="U226" s="11">
        <v>108260</v>
      </c>
      <c r="V226" s="11">
        <v>108310</v>
      </c>
      <c r="W226" s="12">
        <v>114830</v>
      </c>
      <c r="X226" s="12">
        <v>114830</v>
      </c>
      <c r="Y226" s="12">
        <v>114800</v>
      </c>
      <c r="Z226" s="12">
        <v>114810</v>
      </c>
      <c r="AA226" s="12">
        <v>109550</v>
      </c>
      <c r="AB226" s="12">
        <v>109610</v>
      </c>
      <c r="AC226" s="12">
        <v>109550</v>
      </c>
      <c r="AD226" s="12">
        <v>109580</v>
      </c>
      <c r="AE226" s="11">
        <v>111410</v>
      </c>
      <c r="AF226" s="11">
        <v>111490</v>
      </c>
      <c r="AG226" s="11">
        <v>111410</v>
      </c>
      <c r="AH226" s="11">
        <v>111450</v>
      </c>
    </row>
    <row r="227" spans="19:34" x14ac:dyDescent="0.25">
      <c r="S227" s="12">
        <v>108320</v>
      </c>
      <c r="T227" s="12">
        <v>108450</v>
      </c>
      <c r="U227" s="12">
        <v>108320</v>
      </c>
      <c r="V227" s="12">
        <v>108430</v>
      </c>
      <c r="W227" s="11">
        <v>114800</v>
      </c>
      <c r="X227" s="11">
        <v>114870</v>
      </c>
      <c r="Y227" s="11">
        <v>114800</v>
      </c>
      <c r="Z227" s="11">
        <v>114850</v>
      </c>
      <c r="AA227" s="11">
        <v>109570</v>
      </c>
      <c r="AB227" s="11">
        <v>109570</v>
      </c>
      <c r="AC227" s="11">
        <v>109520</v>
      </c>
      <c r="AD227" s="11">
        <v>109540</v>
      </c>
      <c r="AE227" s="12">
        <v>111450</v>
      </c>
      <c r="AF227" s="12">
        <v>111450</v>
      </c>
      <c r="AG227" s="12">
        <v>111330</v>
      </c>
      <c r="AH227" s="12">
        <v>111360</v>
      </c>
    </row>
    <row r="228" spans="19:34" x14ac:dyDescent="0.25">
      <c r="S228" s="11">
        <v>108390</v>
      </c>
      <c r="T228" s="11">
        <v>108390</v>
      </c>
      <c r="U228" s="11">
        <v>108310</v>
      </c>
      <c r="V228" s="11">
        <v>108310</v>
      </c>
      <c r="W228" s="12">
        <v>114850</v>
      </c>
      <c r="X228" s="12">
        <v>114850</v>
      </c>
      <c r="Y228" s="12">
        <v>114770</v>
      </c>
      <c r="Z228" s="12">
        <v>114770</v>
      </c>
      <c r="AA228" s="12">
        <v>109530</v>
      </c>
      <c r="AB228" s="12">
        <v>109710</v>
      </c>
      <c r="AC228" s="12">
        <v>109510</v>
      </c>
      <c r="AD228" s="12">
        <v>109700</v>
      </c>
      <c r="AE228" s="11">
        <v>111350</v>
      </c>
      <c r="AF228" s="11">
        <v>111390</v>
      </c>
      <c r="AG228" s="11">
        <v>111350</v>
      </c>
      <c r="AH228" s="11">
        <v>111350</v>
      </c>
    </row>
    <row r="229" spans="19:34" x14ac:dyDescent="0.25">
      <c r="S229" s="12">
        <v>108280</v>
      </c>
      <c r="T229" s="12">
        <v>108310</v>
      </c>
      <c r="U229" s="12">
        <v>108280</v>
      </c>
      <c r="V229" s="12">
        <v>108280</v>
      </c>
      <c r="W229" s="11">
        <v>114780</v>
      </c>
      <c r="X229" s="11">
        <v>114800</v>
      </c>
      <c r="Y229" s="11">
        <v>114740</v>
      </c>
      <c r="Z229" s="11">
        <v>114760</v>
      </c>
      <c r="AA229" s="11">
        <v>109700</v>
      </c>
      <c r="AB229" s="11">
        <v>109700</v>
      </c>
      <c r="AC229" s="11">
        <v>109630</v>
      </c>
      <c r="AD229" s="11">
        <v>109670</v>
      </c>
      <c r="AE229" s="12">
        <v>111340</v>
      </c>
      <c r="AF229" s="12">
        <v>111370</v>
      </c>
      <c r="AG229" s="12">
        <v>111300</v>
      </c>
      <c r="AH229" s="12">
        <v>111320</v>
      </c>
    </row>
    <row r="230" spans="19:34" x14ac:dyDescent="0.25">
      <c r="S230" s="11">
        <v>108280</v>
      </c>
      <c r="T230" s="11">
        <v>108330</v>
      </c>
      <c r="U230" s="11">
        <v>108220</v>
      </c>
      <c r="V230" s="11">
        <v>108220</v>
      </c>
      <c r="W230" s="12">
        <v>114760</v>
      </c>
      <c r="X230" s="12">
        <v>114790</v>
      </c>
      <c r="Y230" s="12">
        <v>114730</v>
      </c>
      <c r="Z230" s="12">
        <v>114780</v>
      </c>
      <c r="AA230" s="12">
        <v>109670</v>
      </c>
      <c r="AB230" s="12">
        <v>109710</v>
      </c>
      <c r="AC230" s="12">
        <v>109650</v>
      </c>
      <c r="AD230" s="12">
        <v>109650</v>
      </c>
      <c r="AE230" s="11">
        <v>111320</v>
      </c>
      <c r="AF230" s="11">
        <v>111400</v>
      </c>
      <c r="AG230" s="11">
        <v>111320</v>
      </c>
      <c r="AH230" s="11">
        <v>111340</v>
      </c>
    </row>
    <row r="231" spans="19:34" x14ac:dyDescent="0.25">
      <c r="S231" s="12">
        <v>108230</v>
      </c>
      <c r="T231" s="12">
        <v>108250</v>
      </c>
      <c r="U231" s="12">
        <v>108230</v>
      </c>
      <c r="V231" s="12">
        <v>108240</v>
      </c>
      <c r="W231" s="11">
        <v>114770</v>
      </c>
      <c r="X231" s="11">
        <v>114780</v>
      </c>
      <c r="Y231" s="11">
        <v>114720</v>
      </c>
      <c r="Z231" s="11">
        <v>114730</v>
      </c>
      <c r="AA231" s="11">
        <v>109650</v>
      </c>
      <c r="AB231" s="11">
        <v>109700</v>
      </c>
      <c r="AC231" s="11">
        <v>109630</v>
      </c>
      <c r="AD231" s="11">
        <v>109690</v>
      </c>
      <c r="AE231" s="12">
        <v>111330</v>
      </c>
      <c r="AF231" s="12">
        <v>111400</v>
      </c>
      <c r="AG231" s="12">
        <v>111320</v>
      </c>
      <c r="AH231" s="12">
        <v>111390</v>
      </c>
    </row>
    <row r="232" spans="19:34" x14ac:dyDescent="0.25">
      <c r="S232" s="11">
        <v>108250</v>
      </c>
      <c r="T232" s="11">
        <v>108250</v>
      </c>
      <c r="U232" s="11">
        <v>108160</v>
      </c>
      <c r="V232" s="11">
        <v>108160</v>
      </c>
      <c r="W232" s="12">
        <v>114740</v>
      </c>
      <c r="X232" s="12">
        <v>114750</v>
      </c>
      <c r="Y232" s="12">
        <v>114700</v>
      </c>
      <c r="Z232" s="12">
        <v>114700</v>
      </c>
      <c r="AA232" s="12">
        <v>109670</v>
      </c>
      <c r="AB232" s="12">
        <v>109800</v>
      </c>
      <c r="AC232" s="12">
        <v>109650</v>
      </c>
      <c r="AD232" s="12">
        <v>109790</v>
      </c>
      <c r="AE232" s="11">
        <v>111390</v>
      </c>
      <c r="AF232" s="11">
        <v>111480</v>
      </c>
      <c r="AG232" s="11">
        <v>111340</v>
      </c>
      <c r="AH232" s="11">
        <v>111430</v>
      </c>
    </row>
    <row r="233" spans="19:34" x14ac:dyDescent="0.25">
      <c r="S233" s="12">
        <v>108180</v>
      </c>
      <c r="T233" s="12">
        <v>108230</v>
      </c>
      <c r="U233" s="12">
        <v>108180</v>
      </c>
      <c r="V233" s="12">
        <v>108230</v>
      </c>
      <c r="W233" s="11">
        <v>114700</v>
      </c>
      <c r="X233" s="11">
        <v>114700</v>
      </c>
      <c r="Y233" s="11">
        <v>114570</v>
      </c>
      <c r="Z233" s="11">
        <v>114630</v>
      </c>
      <c r="AA233" s="11">
        <v>109790</v>
      </c>
      <c r="AB233" s="11">
        <v>110040</v>
      </c>
      <c r="AC233" s="11">
        <v>109770</v>
      </c>
      <c r="AD233" s="11">
        <v>109980</v>
      </c>
      <c r="AE233" s="12">
        <v>111410</v>
      </c>
      <c r="AF233" s="12">
        <v>111420</v>
      </c>
      <c r="AG233" s="12">
        <v>111360</v>
      </c>
      <c r="AH233" s="12">
        <v>111390</v>
      </c>
    </row>
    <row r="234" spans="19:34" x14ac:dyDescent="0.25">
      <c r="S234" s="11">
        <v>108150</v>
      </c>
      <c r="T234" s="11">
        <v>108190</v>
      </c>
      <c r="U234" s="11">
        <v>108150</v>
      </c>
      <c r="V234" s="11">
        <v>108190</v>
      </c>
      <c r="W234" s="12">
        <v>114620</v>
      </c>
      <c r="X234" s="12">
        <v>114630</v>
      </c>
      <c r="Y234" s="12">
        <v>114580</v>
      </c>
      <c r="Z234" s="12">
        <v>114610</v>
      </c>
      <c r="AA234" s="12">
        <v>109970</v>
      </c>
      <c r="AB234" s="12">
        <v>110100</v>
      </c>
      <c r="AC234" s="12">
        <v>109960</v>
      </c>
      <c r="AD234" s="12">
        <v>110010</v>
      </c>
      <c r="AE234" s="11">
        <v>111380</v>
      </c>
      <c r="AF234" s="11">
        <v>111410</v>
      </c>
      <c r="AG234" s="11">
        <v>111360</v>
      </c>
      <c r="AH234" s="11">
        <v>111390</v>
      </c>
    </row>
    <row r="235" spans="19:34" x14ac:dyDescent="0.25">
      <c r="S235" s="12">
        <v>108200</v>
      </c>
      <c r="T235" s="12">
        <v>108200</v>
      </c>
      <c r="U235" s="12">
        <v>108190</v>
      </c>
      <c r="V235" s="12">
        <v>108200</v>
      </c>
      <c r="W235" s="11">
        <v>114610</v>
      </c>
      <c r="X235" s="11">
        <v>114650</v>
      </c>
      <c r="Y235" s="11">
        <v>114600</v>
      </c>
      <c r="Z235" s="11">
        <v>114620</v>
      </c>
      <c r="AA235" s="11">
        <v>110010</v>
      </c>
      <c r="AB235" s="11">
        <v>110020</v>
      </c>
      <c r="AC235" s="11">
        <v>109920</v>
      </c>
      <c r="AD235" s="11">
        <v>109950</v>
      </c>
      <c r="AE235" s="12">
        <v>111400</v>
      </c>
      <c r="AF235" s="12">
        <v>111460</v>
      </c>
      <c r="AG235" s="12">
        <v>111400</v>
      </c>
      <c r="AH235" s="12">
        <v>111450</v>
      </c>
    </row>
    <row r="236" spans="19:34" x14ac:dyDescent="0.25">
      <c r="S236" s="11">
        <v>108230</v>
      </c>
      <c r="T236" s="11">
        <v>108270</v>
      </c>
      <c r="U236" s="11">
        <v>108230</v>
      </c>
      <c r="V236" s="11">
        <v>108270</v>
      </c>
      <c r="W236" s="12">
        <v>114620</v>
      </c>
      <c r="X236" s="12">
        <v>114640</v>
      </c>
      <c r="Y236" s="12">
        <v>114610</v>
      </c>
      <c r="Z236" s="12">
        <v>114610</v>
      </c>
      <c r="AA236" s="12">
        <v>109930</v>
      </c>
      <c r="AB236" s="12">
        <v>110080</v>
      </c>
      <c r="AC236" s="12">
        <v>109930</v>
      </c>
      <c r="AD236" s="12">
        <v>110020</v>
      </c>
      <c r="AE236" s="11">
        <v>111460</v>
      </c>
      <c r="AF236" s="11">
        <v>111470</v>
      </c>
      <c r="AG236" s="11">
        <v>111410</v>
      </c>
      <c r="AH236" s="11">
        <v>111420</v>
      </c>
    </row>
    <row r="237" spans="19:34" x14ac:dyDescent="0.25">
      <c r="S237" s="12">
        <v>108250</v>
      </c>
      <c r="T237" s="12">
        <v>108250</v>
      </c>
      <c r="U237" s="12">
        <v>108180</v>
      </c>
      <c r="V237" s="12">
        <v>108180</v>
      </c>
      <c r="W237" s="11">
        <v>114610</v>
      </c>
      <c r="X237" s="11">
        <v>114630</v>
      </c>
      <c r="Y237" s="11">
        <v>114580</v>
      </c>
      <c r="Z237" s="11">
        <v>114630</v>
      </c>
      <c r="AA237" s="11">
        <v>110020</v>
      </c>
      <c r="AB237" s="11">
        <v>110090</v>
      </c>
      <c r="AC237" s="11">
        <v>109950</v>
      </c>
      <c r="AD237" s="11">
        <v>109970</v>
      </c>
      <c r="AE237" s="12">
        <v>111430</v>
      </c>
      <c r="AF237" s="12">
        <v>111430</v>
      </c>
      <c r="AG237" s="12">
        <v>111380</v>
      </c>
      <c r="AH237" s="12">
        <v>111400</v>
      </c>
    </row>
    <row r="238" spans="19:34" x14ac:dyDescent="0.25">
      <c r="S238" s="11">
        <v>108170</v>
      </c>
      <c r="T238" s="11">
        <v>108200</v>
      </c>
      <c r="U238" s="11">
        <v>108170</v>
      </c>
      <c r="V238" s="11">
        <v>108180</v>
      </c>
      <c r="W238" s="12">
        <v>114620</v>
      </c>
      <c r="X238" s="12">
        <v>114640</v>
      </c>
      <c r="Y238" s="12">
        <v>114620</v>
      </c>
      <c r="Z238" s="12">
        <v>114630</v>
      </c>
      <c r="AA238" s="12">
        <v>109960</v>
      </c>
      <c r="AB238" s="12">
        <v>109990</v>
      </c>
      <c r="AC238" s="12">
        <v>109810</v>
      </c>
      <c r="AD238" s="12">
        <v>109860</v>
      </c>
      <c r="AE238" s="11">
        <v>111390</v>
      </c>
      <c r="AF238" s="11">
        <v>111430</v>
      </c>
      <c r="AG238" s="11">
        <v>111390</v>
      </c>
      <c r="AH238" s="11">
        <v>111430</v>
      </c>
    </row>
    <row r="239" spans="19:34" x14ac:dyDescent="0.25">
      <c r="S239" s="12">
        <v>108240</v>
      </c>
      <c r="T239" s="12">
        <v>108250</v>
      </c>
      <c r="U239" s="12">
        <v>108240</v>
      </c>
      <c r="V239" s="12">
        <v>108250</v>
      </c>
      <c r="W239" s="11">
        <v>114640</v>
      </c>
      <c r="X239" s="11">
        <v>114640</v>
      </c>
      <c r="Y239" s="11">
        <v>114580</v>
      </c>
      <c r="Z239" s="11">
        <v>114580</v>
      </c>
      <c r="AA239" s="11">
        <v>109850</v>
      </c>
      <c r="AB239" s="11">
        <v>109920</v>
      </c>
      <c r="AC239" s="11">
        <v>109820</v>
      </c>
      <c r="AD239" s="11">
        <v>109910</v>
      </c>
      <c r="AE239" s="12">
        <v>111430</v>
      </c>
      <c r="AF239" s="12">
        <v>111490</v>
      </c>
      <c r="AG239" s="12">
        <v>111420</v>
      </c>
      <c r="AH239" s="12">
        <v>111470</v>
      </c>
    </row>
    <row r="240" spans="19:34" x14ac:dyDescent="0.25">
      <c r="S240" s="11">
        <v>108250</v>
      </c>
      <c r="T240" s="11">
        <v>108250</v>
      </c>
      <c r="U240" s="11">
        <v>108190</v>
      </c>
      <c r="V240" s="11">
        <v>108190</v>
      </c>
      <c r="W240" s="12">
        <v>114590</v>
      </c>
      <c r="X240" s="12">
        <v>114590</v>
      </c>
      <c r="Y240" s="12">
        <v>114560</v>
      </c>
      <c r="Z240" s="12">
        <v>114570</v>
      </c>
      <c r="AA240" s="12">
        <v>109920</v>
      </c>
      <c r="AB240" s="12">
        <v>109960</v>
      </c>
      <c r="AC240" s="12">
        <v>109890</v>
      </c>
      <c r="AD240" s="12">
        <v>109950</v>
      </c>
      <c r="AE240" s="11">
        <v>111470</v>
      </c>
      <c r="AF240" s="11">
        <v>111510</v>
      </c>
      <c r="AG240" s="11">
        <v>111450</v>
      </c>
      <c r="AH240" s="11">
        <v>111480</v>
      </c>
    </row>
    <row r="241" spans="19:34" x14ac:dyDescent="0.25">
      <c r="S241" s="12">
        <v>108170</v>
      </c>
      <c r="T241" s="12">
        <v>108170</v>
      </c>
      <c r="U241" s="12">
        <v>108130</v>
      </c>
      <c r="V241" s="12">
        <v>108140</v>
      </c>
      <c r="W241" s="11">
        <v>114580</v>
      </c>
      <c r="X241" s="11">
        <v>114580</v>
      </c>
      <c r="Y241" s="11">
        <v>114450</v>
      </c>
      <c r="Z241" s="11">
        <v>114500</v>
      </c>
      <c r="AA241" s="11">
        <v>109960</v>
      </c>
      <c r="AB241" s="11">
        <v>110140</v>
      </c>
      <c r="AC241" s="11">
        <v>109960</v>
      </c>
      <c r="AD241" s="11">
        <v>110110</v>
      </c>
      <c r="AE241" s="12">
        <v>111470</v>
      </c>
      <c r="AF241" s="12">
        <v>111490</v>
      </c>
      <c r="AG241" s="12">
        <v>111430</v>
      </c>
      <c r="AH241" s="12">
        <v>111480</v>
      </c>
    </row>
    <row r="242" spans="19:34" x14ac:dyDescent="0.25">
      <c r="S242" s="11">
        <v>108110</v>
      </c>
      <c r="T242" s="11">
        <v>108140</v>
      </c>
      <c r="U242" s="11">
        <v>108110</v>
      </c>
      <c r="V242" s="11">
        <v>108110</v>
      </c>
      <c r="W242" s="12">
        <v>114510</v>
      </c>
      <c r="X242" s="12">
        <v>114520</v>
      </c>
      <c r="Y242" s="12">
        <v>114360</v>
      </c>
      <c r="Z242" s="12">
        <v>114470</v>
      </c>
      <c r="AA242" s="12">
        <v>110100</v>
      </c>
      <c r="AB242" s="12">
        <v>110220</v>
      </c>
      <c r="AC242" s="12">
        <v>110000</v>
      </c>
      <c r="AD242" s="12">
        <v>110140</v>
      </c>
      <c r="AE242" s="11">
        <v>111470</v>
      </c>
      <c r="AF242" s="11">
        <v>111490</v>
      </c>
      <c r="AG242" s="11">
        <v>111420</v>
      </c>
      <c r="AH242" s="11">
        <v>111440</v>
      </c>
    </row>
    <row r="243" spans="19:34" x14ac:dyDescent="0.25">
      <c r="S243" s="12">
        <v>108100</v>
      </c>
      <c r="T243" s="12">
        <v>108100</v>
      </c>
      <c r="U243" s="12">
        <v>108050</v>
      </c>
      <c r="V243" s="12">
        <v>108050</v>
      </c>
      <c r="W243" s="11">
        <v>114460</v>
      </c>
      <c r="X243" s="11">
        <v>114560</v>
      </c>
      <c r="Y243" s="11">
        <v>114450</v>
      </c>
      <c r="Z243" s="11">
        <v>114530</v>
      </c>
      <c r="AA243" s="11">
        <v>110140</v>
      </c>
      <c r="AB243" s="11">
        <v>110180</v>
      </c>
      <c r="AC243" s="11">
        <v>110060</v>
      </c>
      <c r="AD243" s="11">
        <v>110070</v>
      </c>
      <c r="AE243" s="12">
        <v>111440</v>
      </c>
      <c r="AF243" s="12">
        <v>111480</v>
      </c>
      <c r="AG243" s="12">
        <v>111410</v>
      </c>
      <c r="AH243" s="12">
        <v>111420</v>
      </c>
    </row>
    <row r="244" spans="19:34" x14ac:dyDescent="0.25">
      <c r="S244" s="11">
        <v>108100</v>
      </c>
      <c r="T244" s="11">
        <v>108100</v>
      </c>
      <c r="U244" s="11">
        <v>108050</v>
      </c>
      <c r="V244" s="11">
        <v>108050</v>
      </c>
      <c r="W244" s="12">
        <v>114540</v>
      </c>
      <c r="X244" s="12">
        <v>114570</v>
      </c>
      <c r="Y244" s="12">
        <v>114510</v>
      </c>
      <c r="Z244" s="12">
        <v>114560</v>
      </c>
      <c r="AA244" s="12">
        <v>110070</v>
      </c>
      <c r="AB244" s="12">
        <v>110100</v>
      </c>
      <c r="AC244" s="12">
        <v>110000</v>
      </c>
      <c r="AD244" s="12">
        <v>110020</v>
      </c>
      <c r="AE244" s="11">
        <v>111430</v>
      </c>
      <c r="AF244" s="11">
        <v>111440</v>
      </c>
      <c r="AG244" s="11">
        <v>111420</v>
      </c>
      <c r="AH244" s="11">
        <v>111440</v>
      </c>
    </row>
    <row r="245" spans="19:34" x14ac:dyDescent="0.25">
      <c r="S245" s="12">
        <v>108030</v>
      </c>
      <c r="T245" s="12">
        <v>108080</v>
      </c>
      <c r="U245" s="12">
        <v>108020</v>
      </c>
      <c r="V245" s="12">
        <v>108050</v>
      </c>
      <c r="W245" s="11">
        <v>114570</v>
      </c>
      <c r="X245" s="11">
        <v>114670</v>
      </c>
      <c r="Y245" s="11">
        <v>114570</v>
      </c>
      <c r="Z245" s="11">
        <v>114630</v>
      </c>
      <c r="AA245" s="11">
        <v>110020</v>
      </c>
      <c r="AB245" s="11">
        <v>110020</v>
      </c>
      <c r="AC245" s="11">
        <v>109950</v>
      </c>
      <c r="AD245" s="11">
        <v>109990</v>
      </c>
      <c r="AE245" s="12">
        <v>111450</v>
      </c>
      <c r="AF245" s="12">
        <v>111510</v>
      </c>
      <c r="AG245" s="12">
        <v>111450</v>
      </c>
      <c r="AH245" s="12">
        <v>111480</v>
      </c>
    </row>
    <row r="246" spans="19:34" x14ac:dyDescent="0.25">
      <c r="S246" s="11">
        <v>108100</v>
      </c>
      <c r="T246" s="11">
        <v>108110</v>
      </c>
      <c r="U246" s="11">
        <v>108080</v>
      </c>
      <c r="V246" s="11">
        <v>108080</v>
      </c>
      <c r="W246" s="12">
        <v>114640</v>
      </c>
      <c r="X246" s="12">
        <v>114650</v>
      </c>
      <c r="Y246" s="12">
        <v>114620</v>
      </c>
      <c r="Z246" s="12">
        <v>114640</v>
      </c>
      <c r="AA246" s="12">
        <v>109980</v>
      </c>
      <c r="AB246" s="12">
        <v>110060</v>
      </c>
      <c r="AC246" s="12">
        <v>109980</v>
      </c>
      <c r="AD246" s="12">
        <v>110010</v>
      </c>
      <c r="AE246" s="11">
        <v>111470</v>
      </c>
      <c r="AF246" s="11">
        <v>111510</v>
      </c>
      <c r="AG246" s="11">
        <v>111440</v>
      </c>
      <c r="AH246" s="11">
        <v>111500</v>
      </c>
    </row>
    <row r="247" spans="19:34" x14ac:dyDescent="0.25">
      <c r="S247" s="12">
        <v>108140</v>
      </c>
      <c r="T247" s="12">
        <v>108140</v>
      </c>
      <c r="U247" s="12">
        <v>108100</v>
      </c>
      <c r="V247" s="12">
        <v>108120</v>
      </c>
      <c r="W247" s="11">
        <v>114640</v>
      </c>
      <c r="X247" s="11">
        <v>114690</v>
      </c>
      <c r="Y247" s="11">
        <v>114630</v>
      </c>
      <c r="Z247" s="11">
        <v>114660</v>
      </c>
      <c r="AA247" s="11">
        <v>110020</v>
      </c>
      <c r="AB247" s="11">
        <v>110110</v>
      </c>
      <c r="AC247" s="11">
        <v>110020</v>
      </c>
      <c r="AD247" s="11">
        <v>110040</v>
      </c>
      <c r="AE247" s="12">
        <v>111500</v>
      </c>
      <c r="AF247" s="12">
        <v>111680</v>
      </c>
      <c r="AG247" s="12">
        <v>111490</v>
      </c>
      <c r="AH247" s="12">
        <v>111650</v>
      </c>
    </row>
    <row r="248" spans="19:34" x14ac:dyDescent="0.25">
      <c r="S248" s="11">
        <v>108140</v>
      </c>
      <c r="T248" s="11">
        <v>108140</v>
      </c>
      <c r="U248" s="11">
        <v>108140</v>
      </c>
      <c r="V248" s="11">
        <v>108140</v>
      </c>
      <c r="W248" s="12">
        <v>114660</v>
      </c>
      <c r="X248" s="12">
        <v>114680</v>
      </c>
      <c r="Y248" s="12">
        <v>114590</v>
      </c>
      <c r="Z248" s="12">
        <v>114590</v>
      </c>
      <c r="AA248" s="12">
        <v>110040</v>
      </c>
      <c r="AB248" s="12">
        <v>110090</v>
      </c>
      <c r="AC248" s="12">
        <v>109990</v>
      </c>
      <c r="AD248" s="12">
        <v>109990</v>
      </c>
      <c r="AE248" s="11">
        <v>111650</v>
      </c>
      <c r="AF248" s="11">
        <v>111690</v>
      </c>
      <c r="AG248" s="11">
        <v>111540</v>
      </c>
      <c r="AH248" s="11">
        <v>111610</v>
      </c>
    </row>
    <row r="249" spans="19:34" x14ac:dyDescent="0.25">
      <c r="S249" s="12">
        <v>108100</v>
      </c>
      <c r="T249" s="12">
        <v>108100</v>
      </c>
      <c r="U249" s="12">
        <v>108070</v>
      </c>
      <c r="V249" s="12">
        <v>108070</v>
      </c>
      <c r="W249" s="11">
        <v>114590</v>
      </c>
      <c r="X249" s="11">
        <v>114630</v>
      </c>
      <c r="Y249" s="11">
        <v>114580</v>
      </c>
      <c r="Z249" s="11">
        <v>114590</v>
      </c>
      <c r="AA249" s="11">
        <v>109990</v>
      </c>
      <c r="AB249" s="11">
        <v>110040</v>
      </c>
      <c r="AC249" s="11">
        <v>109980</v>
      </c>
      <c r="AD249" s="11">
        <v>110020</v>
      </c>
      <c r="AE249" s="12">
        <v>111610</v>
      </c>
      <c r="AF249" s="12">
        <v>111640</v>
      </c>
      <c r="AG249" s="12">
        <v>111550</v>
      </c>
      <c r="AH249" s="12">
        <v>111580</v>
      </c>
    </row>
    <row r="250" spans="19:34" x14ac:dyDescent="0.25">
      <c r="S250" s="11">
        <v>108080</v>
      </c>
      <c r="T250" s="11">
        <v>108080</v>
      </c>
      <c r="U250" s="11">
        <v>108080</v>
      </c>
      <c r="V250" s="11">
        <v>108080</v>
      </c>
      <c r="W250" s="12">
        <v>114600</v>
      </c>
      <c r="X250" s="12">
        <v>114600</v>
      </c>
      <c r="Y250" s="12">
        <v>114500</v>
      </c>
      <c r="Z250" s="12">
        <v>114510</v>
      </c>
      <c r="AA250" s="12">
        <v>110020</v>
      </c>
      <c r="AB250" s="12">
        <v>110020</v>
      </c>
      <c r="AC250" s="12">
        <v>109930</v>
      </c>
      <c r="AD250" s="12">
        <v>109960</v>
      </c>
      <c r="AE250" s="11">
        <v>111590</v>
      </c>
      <c r="AF250" s="11">
        <v>111590</v>
      </c>
      <c r="AG250" s="11">
        <v>111550</v>
      </c>
      <c r="AH250" s="11">
        <v>111580</v>
      </c>
    </row>
    <row r="251" spans="19:34" x14ac:dyDescent="0.25">
      <c r="S251" s="12">
        <v>108140</v>
      </c>
      <c r="T251" s="12">
        <v>108140</v>
      </c>
      <c r="U251" s="12">
        <v>108140</v>
      </c>
      <c r="V251" s="12">
        <v>108140</v>
      </c>
      <c r="W251" s="11">
        <v>114520</v>
      </c>
      <c r="X251" s="11">
        <v>114590</v>
      </c>
      <c r="Y251" s="11">
        <v>114520</v>
      </c>
      <c r="Z251" s="11">
        <v>114590</v>
      </c>
      <c r="AA251" s="11">
        <v>109960</v>
      </c>
      <c r="AB251" s="11">
        <v>110000</v>
      </c>
      <c r="AC251" s="11">
        <v>109960</v>
      </c>
      <c r="AD251" s="11">
        <v>109980</v>
      </c>
      <c r="AE251" s="12">
        <v>111570</v>
      </c>
      <c r="AF251" s="12">
        <v>111580</v>
      </c>
      <c r="AG251" s="12">
        <v>111540</v>
      </c>
      <c r="AH251" s="12">
        <v>111540</v>
      </c>
    </row>
    <row r="252" spans="19:34" x14ac:dyDescent="0.25">
      <c r="S252" s="11">
        <v>108140</v>
      </c>
      <c r="T252" s="11">
        <v>108200</v>
      </c>
      <c r="U252" s="11">
        <v>108140</v>
      </c>
      <c r="V252" s="11">
        <v>108180</v>
      </c>
      <c r="W252" s="12">
        <v>114580</v>
      </c>
      <c r="X252" s="12">
        <v>114630</v>
      </c>
      <c r="Y252" s="12">
        <v>114570</v>
      </c>
      <c r="Z252" s="12">
        <v>114620</v>
      </c>
      <c r="AA252" s="12">
        <v>109980</v>
      </c>
      <c r="AB252" s="12">
        <v>110070</v>
      </c>
      <c r="AC252" s="12">
        <v>109980</v>
      </c>
      <c r="AD252" s="12">
        <v>110030</v>
      </c>
      <c r="AE252" s="11">
        <v>111550</v>
      </c>
      <c r="AF252" s="11">
        <v>111620</v>
      </c>
      <c r="AG252" s="11">
        <v>111540</v>
      </c>
      <c r="AH252" s="11">
        <v>111600</v>
      </c>
    </row>
    <row r="253" spans="19:34" x14ac:dyDescent="0.25">
      <c r="S253" s="12">
        <v>108210</v>
      </c>
      <c r="T253" s="12">
        <v>108210</v>
      </c>
      <c r="U253" s="12">
        <v>108200</v>
      </c>
      <c r="V253" s="12">
        <v>108200</v>
      </c>
      <c r="W253" s="11">
        <v>114620</v>
      </c>
      <c r="X253" s="11">
        <v>114630</v>
      </c>
      <c r="Y253" s="11">
        <v>114600</v>
      </c>
      <c r="Z253" s="11">
        <v>114610</v>
      </c>
      <c r="AA253" s="11">
        <v>110030</v>
      </c>
      <c r="AB253" s="11">
        <v>110040</v>
      </c>
      <c r="AC253" s="11">
        <v>109880</v>
      </c>
      <c r="AD253" s="11">
        <v>109900</v>
      </c>
      <c r="AE253" s="12">
        <v>111610</v>
      </c>
      <c r="AF253" s="12">
        <v>111650</v>
      </c>
      <c r="AG253" s="12">
        <v>111610</v>
      </c>
      <c r="AH253" s="12">
        <v>111640</v>
      </c>
    </row>
    <row r="254" spans="19:34" x14ac:dyDescent="0.25">
      <c r="S254" s="11">
        <v>108170</v>
      </c>
      <c r="T254" s="11">
        <v>108170</v>
      </c>
      <c r="U254" s="11">
        <v>108140</v>
      </c>
      <c r="V254" s="11">
        <v>108140</v>
      </c>
      <c r="W254" s="12">
        <v>114630</v>
      </c>
      <c r="X254" s="12">
        <v>114700</v>
      </c>
      <c r="Y254" s="12">
        <v>114630</v>
      </c>
      <c r="Z254" s="12">
        <v>114660</v>
      </c>
      <c r="AA254" s="12">
        <v>109900</v>
      </c>
      <c r="AB254" s="12">
        <v>109900</v>
      </c>
      <c r="AC254" s="12">
        <v>109840</v>
      </c>
      <c r="AD254" s="12">
        <v>109870</v>
      </c>
      <c r="AE254" s="11">
        <v>111640</v>
      </c>
      <c r="AF254" s="11">
        <v>111640</v>
      </c>
      <c r="AG254" s="11">
        <v>111590</v>
      </c>
      <c r="AH254" s="11">
        <v>111630</v>
      </c>
    </row>
    <row r="255" spans="19:34" x14ac:dyDescent="0.25">
      <c r="S255" s="12">
        <v>108130</v>
      </c>
      <c r="T255" s="12">
        <v>108130</v>
      </c>
      <c r="U255" s="12">
        <v>108130</v>
      </c>
      <c r="V255" s="12">
        <v>108130</v>
      </c>
      <c r="W255" s="11">
        <v>114660</v>
      </c>
      <c r="X255" s="11">
        <v>114710</v>
      </c>
      <c r="Y255" s="11">
        <v>114650</v>
      </c>
      <c r="Z255" s="11">
        <v>114670</v>
      </c>
      <c r="AA255" s="11">
        <v>109860</v>
      </c>
      <c r="AB255" s="11">
        <v>109900</v>
      </c>
      <c r="AC255" s="11">
        <v>109860</v>
      </c>
      <c r="AD255" s="11">
        <v>109880</v>
      </c>
      <c r="AE255" s="12">
        <v>111620</v>
      </c>
      <c r="AF255" s="12">
        <v>111640</v>
      </c>
      <c r="AG255" s="12">
        <v>111560</v>
      </c>
      <c r="AH255" s="12">
        <v>111580</v>
      </c>
    </row>
    <row r="256" spans="19:34" x14ac:dyDescent="0.25">
      <c r="S256" s="11">
        <v>108140</v>
      </c>
      <c r="T256" s="11">
        <v>108140</v>
      </c>
      <c r="U256" s="11">
        <v>108100</v>
      </c>
      <c r="V256" s="11">
        <v>108100</v>
      </c>
      <c r="W256" s="12">
        <v>114670</v>
      </c>
      <c r="X256" s="12">
        <v>114720</v>
      </c>
      <c r="Y256" s="12">
        <v>114650</v>
      </c>
      <c r="Z256" s="12">
        <v>114650</v>
      </c>
      <c r="AA256" s="12">
        <v>109880</v>
      </c>
      <c r="AB256" s="12">
        <v>109880</v>
      </c>
      <c r="AC256" s="12">
        <v>109820</v>
      </c>
      <c r="AD256" s="12">
        <v>109820</v>
      </c>
      <c r="AE256" s="11">
        <v>111580</v>
      </c>
      <c r="AF256" s="11">
        <v>111590</v>
      </c>
      <c r="AG256" s="11">
        <v>111530</v>
      </c>
      <c r="AH256" s="11">
        <v>111540</v>
      </c>
    </row>
    <row r="257" spans="19:34" x14ac:dyDescent="0.25">
      <c r="S257" s="12">
        <v>108120</v>
      </c>
      <c r="T257" s="12">
        <v>108120</v>
      </c>
      <c r="U257" s="12">
        <v>108080</v>
      </c>
      <c r="V257" s="12">
        <v>108110</v>
      </c>
      <c r="W257" s="11">
        <v>114650</v>
      </c>
      <c r="X257" s="11">
        <v>114700</v>
      </c>
      <c r="Y257" s="11">
        <v>114650</v>
      </c>
      <c r="Z257" s="11">
        <v>114700</v>
      </c>
      <c r="AA257" s="11">
        <v>109830</v>
      </c>
      <c r="AB257" s="11">
        <v>109900</v>
      </c>
      <c r="AC257" s="11">
        <v>109820</v>
      </c>
      <c r="AD257" s="11">
        <v>109860</v>
      </c>
      <c r="AE257" s="12">
        <v>111530</v>
      </c>
      <c r="AF257" s="12">
        <v>111540</v>
      </c>
      <c r="AG257" s="12">
        <v>111410</v>
      </c>
      <c r="AH257" s="12">
        <v>111420</v>
      </c>
    </row>
    <row r="258" spans="19:34" x14ac:dyDescent="0.25">
      <c r="S258" s="11">
        <v>108080</v>
      </c>
      <c r="T258" s="11">
        <v>108120</v>
      </c>
      <c r="U258" s="11">
        <v>108050</v>
      </c>
      <c r="V258" s="11">
        <v>108120</v>
      </c>
      <c r="W258" s="12">
        <v>114700</v>
      </c>
      <c r="X258" s="12">
        <v>114710</v>
      </c>
      <c r="Y258" s="12">
        <v>114600</v>
      </c>
      <c r="Z258" s="12">
        <v>114620</v>
      </c>
      <c r="AA258" s="12">
        <v>109850</v>
      </c>
      <c r="AB258" s="12">
        <v>109850</v>
      </c>
      <c r="AC258" s="12">
        <v>109770</v>
      </c>
      <c r="AD258" s="12">
        <v>109820</v>
      </c>
      <c r="AE258" s="11">
        <v>111440</v>
      </c>
      <c r="AF258" s="11">
        <v>111440</v>
      </c>
      <c r="AG258" s="11">
        <v>111350</v>
      </c>
      <c r="AH258" s="11">
        <v>111350</v>
      </c>
    </row>
    <row r="259" spans="19:34" x14ac:dyDescent="0.25">
      <c r="S259" s="12">
        <v>108110</v>
      </c>
      <c r="T259" s="12">
        <v>108150</v>
      </c>
      <c r="U259" s="12">
        <v>108110</v>
      </c>
      <c r="V259" s="12">
        <v>108150</v>
      </c>
      <c r="W259" s="11">
        <v>114620</v>
      </c>
      <c r="X259" s="11">
        <v>114650</v>
      </c>
      <c r="Y259" s="11">
        <v>114560</v>
      </c>
      <c r="Z259" s="11">
        <v>114560</v>
      </c>
      <c r="AA259" s="11">
        <v>109820</v>
      </c>
      <c r="AB259" s="11">
        <v>109850</v>
      </c>
      <c r="AC259" s="11">
        <v>109790</v>
      </c>
      <c r="AD259" s="11">
        <v>109800</v>
      </c>
      <c r="AE259" s="12">
        <v>111350</v>
      </c>
      <c r="AF259" s="12">
        <v>111400</v>
      </c>
      <c r="AG259" s="12">
        <v>111330</v>
      </c>
      <c r="AH259" s="12">
        <v>111400</v>
      </c>
    </row>
    <row r="260" spans="19:34" x14ac:dyDescent="0.25">
      <c r="S260" s="11">
        <v>108180</v>
      </c>
      <c r="T260" s="11">
        <v>108210</v>
      </c>
      <c r="U260" s="11">
        <v>108170</v>
      </c>
      <c r="V260" s="11">
        <v>108210</v>
      </c>
      <c r="W260" s="12">
        <v>114570</v>
      </c>
      <c r="X260" s="12">
        <v>114570</v>
      </c>
      <c r="Y260" s="12">
        <v>114440</v>
      </c>
      <c r="Z260" s="12">
        <v>114460</v>
      </c>
      <c r="AA260" s="12">
        <v>109810</v>
      </c>
      <c r="AB260" s="12">
        <v>109840</v>
      </c>
      <c r="AC260" s="12">
        <v>109780</v>
      </c>
      <c r="AD260" s="12">
        <v>109800</v>
      </c>
      <c r="AE260" s="11">
        <v>111400</v>
      </c>
      <c r="AF260" s="11">
        <v>111470</v>
      </c>
      <c r="AG260" s="11">
        <v>111380</v>
      </c>
      <c r="AH260" s="11">
        <v>111420</v>
      </c>
    </row>
    <row r="261" spans="19:34" x14ac:dyDescent="0.25">
      <c r="S261" s="12">
        <v>108200</v>
      </c>
      <c r="T261" s="12">
        <v>108200</v>
      </c>
      <c r="U261" s="12">
        <v>108200</v>
      </c>
      <c r="V261" s="12">
        <v>108200</v>
      </c>
      <c r="W261" s="11">
        <v>114460</v>
      </c>
      <c r="X261" s="11">
        <v>114570</v>
      </c>
      <c r="Y261" s="11">
        <v>114440</v>
      </c>
      <c r="Z261" s="11">
        <v>114560</v>
      </c>
      <c r="AA261" s="11">
        <v>109800</v>
      </c>
      <c r="AB261" s="11">
        <v>109810</v>
      </c>
      <c r="AC261" s="11">
        <v>109620</v>
      </c>
      <c r="AD261" s="11">
        <v>109630</v>
      </c>
      <c r="AE261" s="12">
        <v>111420</v>
      </c>
      <c r="AF261" s="12">
        <v>111420</v>
      </c>
      <c r="AG261" s="12">
        <v>111360</v>
      </c>
      <c r="AH261" s="12">
        <v>111390</v>
      </c>
    </row>
    <row r="262" spans="19:34" x14ac:dyDescent="0.25">
      <c r="S262" s="11">
        <v>108180</v>
      </c>
      <c r="T262" s="11">
        <v>108180</v>
      </c>
      <c r="U262" s="11">
        <v>108150</v>
      </c>
      <c r="V262" s="11">
        <v>108150</v>
      </c>
      <c r="W262" s="12">
        <v>114550</v>
      </c>
      <c r="X262" s="12">
        <v>114550</v>
      </c>
      <c r="Y262" s="12">
        <v>114500</v>
      </c>
      <c r="Z262" s="12">
        <v>114510</v>
      </c>
      <c r="AA262" s="12">
        <v>109630</v>
      </c>
      <c r="AB262" s="12">
        <v>109740</v>
      </c>
      <c r="AC262" s="12">
        <v>109620</v>
      </c>
      <c r="AD262" s="12">
        <v>109690</v>
      </c>
      <c r="AE262" s="11">
        <v>111390</v>
      </c>
      <c r="AF262" s="11">
        <v>111410</v>
      </c>
      <c r="AG262" s="11">
        <v>111340</v>
      </c>
      <c r="AH262" s="11">
        <v>111400</v>
      </c>
    </row>
    <row r="263" spans="19:34" x14ac:dyDescent="0.25">
      <c r="S263" s="12">
        <v>108150</v>
      </c>
      <c r="T263" s="12">
        <v>108150</v>
      </c>
      <c r="U263" s="12">
        <v>108110</v>
      </c>
      <c r="V263" s="12">
        <v>108110</v>
      </c>
      <c r="W263" s="11">
        <v>114500</v>
      </c>
      <c r="X263" s="11">
        <v>114510</v>
      </c>
      <c r="Y263" s="11">
        <v>114430</v>
      </c>
      <c r="Z263" s="11">
        <v>114490</v>
      </c>
      <c r="AA263" s="11">
        <v>109680</v>
      </c>
      <c r="AB263" s="11">
        <v>109730</v>
      </c>
      <c r="AC263" s="11">
        <v>109650</v>
      </c>
      <c r="AD263" s="11">
        <v>109660</v>
      </c>
      <c r="AE263" s="12">
        <v>111380</v>
      </c>
      <c r="AF263" s="12">
        <v>111440</v>
      </c>
      <c r="AG263" s="12">
        <v>111350</v>
      </c>
      <c r="AH263" s="12">
        <v>111410</v>
      </c>
    </row>
    <row r="264" spans="19:34" x14ac:dyDescent="0.25">
      <c r="S264" s="11">
        <v>108190</v>
      </c>
      <c r="T264" s="11">
        <v>108220</v>
      </c>
      <c r="U264" s="11">
        <v>108190</v>
      </c>
      <c r="V264" s="11">
        <v>108220</v>
      </c>
      <c r="W264" s="12">
        <v>114480</v>
      </c>
      <c r="X264" s="12">
        <v>114530</v>
      </c>
      <c r="Y264" s="12">
        <v>114470</v>
      </c>
      <c r="Z264" s="12">
        <v>114480</v>
      </c>
      <c r="AA264" s="12">
        <v>109660</v>
      </c>
      <c r="AB264" s="12">
        <v>109700</v>
      </c>
      <c r="AC264" s="12">
        <v>109640</v>
      </c>
      <c r="AD264" s="12">
        <v>109660</v>
      </c>
      <c r="AE264" s="11">
        <v>111410</v>
      </c>
      <c r="AF264" s="11">
        <v>111440</v>
      </c>
      <c r="AG264" s="11">
        <v>111390</v>
      </c>
      <c r="AH264" s="11">
        <v>111390</v>
      </c>
    </row>
    <row r="265" spans="19:34" x14ac:dyDescent="0.25">
      <c r="S265" s="12">
        <v>108230</v>
      </c>
      <c r="T265" s="12">
        <v>108250</v>
      </c>
      <c r="U265" s="12">
        <v>108190</v>
      </c>
      <c r="V265" s="12">
        <v>108210</v>
      </c>
      <c r="W265" s="11">
        <v>114490</v>
      </c>
      <c r="X265" s="11">
        <v>114550</v>
      </c>
      <c r="Y265" s="11">
        <v>114480</v>
      </c>
      <c r="Z265" s="11">
        <v>114510</v>
      </c>
      <c r="AA265" s="11">
        <v>109670</v>
      </c>
      <c r="AB265" s="11">
        <v>109700</v>
      </c>
      <c r="AC265" s="11">
        <v>109650</v>
      </c>
      <c r="AD265" s="11">
        <v>109700</v>
      </c>
      <c r="AE265" s="12">
        <v>111410</v>
      </c>
      <c r="AF265" s="12">
        <v>111440</v>
      </c>
      <c r="AG265" s="12">
        <v>111380</v>
      </c>
      <c r="AH265" s="12">
        <v>111410</v>
      </c>
    </row>
    <row r="266" spans="19:34" x14ac:dyDescent="0.25">
      <c r="S266" s="11">
        <v>108180</v>
      </c>
      <c r="T266" s="11">
        <v>108190</v>
      </c>
      <c r="U266" s="11">
        <v>108170</v>
      </c>
      <c r="V266" s="11">
        <v>108190</v>
      </c>
      <c r="W266" s="12">
        <v>114510</v>
      </c>
      <c r="X266" s="12">
        <v>114520</v>
      </c>
      <c r="Y266" s="12">
        <v>114370</v>
      </c>
      <c r="Z266" s="12">
        <v>114390</v>
      </c>
      <c r="AA266" s="12">
        <v>109700</v>
      </c>
      <c r="AB266" s="12">
        <v>109740</v>
      </c>
      <c r="AC266" s="12">
        <v>109670</v>
      </c>
      <c r="AD266" s="12">
        <v>109720</v>
      </c>
      <c r="AE266" s="11">
        <v>111400</v>
      </c>
      <c r="AF266" s="11">
        <v>111410</v>
      </c>
      <c r="AG266" s="11">
        <v>111370</v>
      </c>
      <c r="AH266" s="11">
        <v>111390</v>
      </c>
    </row>
    <row r="267" spans="19:34" x14ac:dyDescent="0.25">
      <c r="S267" s="12">
        <v>108150</v>
      </c>
      <c r="T267" s="12">
        <v>108180</v>
      </c>
      <c r="U267" s="12">
        <v>108150</v>
      </c>
      <c r="V267" s="12">
        <v>108180</v>
      </c>
      <c r="W267" s="11">
        <v>114400</v>
      </c>
      <c r="X267" s="11">
        <v>114420</v>
      </c>
      <c r="Y267" s="11">
        <v>114300</v>
      </c>
      <c r="Z267" s="11">
        <v>114390</v>
      </c>
      <c r="AA267" s="11">
        <v>109720</v>
      </c>
      <c r="AB267" s="11">
        <v>109750</v>
      </c>
      <c r="AC267" s="11">
        <v>109670</v>
      </c>
      <c r="AD267" s="11">
        <v>109740</v>
      </c>
      <c r="AE267" s="12">
        <v>111370</v>
      </c>
      <c r="AF267" s="12">
        <v>111440</v>
      </c>
      <c r="AG267" s="12">
        <v>111350</v>
      </c>
      <c r="AH267" s="12">
        <v>111430</v>
      </c>
    </row>
    <row r="268" spans="19:34" x14ac:dyDescent="0.25">
      <c r="S268" s="11">
        <v>108180</v>
      </c>
      <c r="T268" s="11">
        <v>108180</v>
      </c>
      <c r="U268" s="11">
        <v>108180</v>
      </c>
      <c r="V268" s="11">
        <v>108180</v>
      </c>
      <c r="W268" s="12">
        <v>114380</v>
      </c>
      <c r="X268" s="12">
        <v>114430</v>
      </c>
      <c r="Y268" s="12">
        <v>114370</v>
      </c>
      <c r="Z268" s="12">
        <v>114430</v>
      </c>
      <c r="AA268" s="12">
        <v>109730</v>
      </c>
      <c r="AB268" s="12">
        <v>109810</v>
      </c>
      <c r="AC268" s="12">
        <v>109710</v>
      </c>
      <c r="AD268" s="12">
        <v>109810</v>
      </c>
      <c r="AE268" s="11">
        <v>111430</v>
      </c>
      <c r="AF268" s="11">
        <v>111470</v>
      </c>
      <c r="AG268" s="11">
        <v>111380</v>
      </c>
      <c r="AH268" s="11">
        <v>111390</v>
      </c>
    </row>
    <row r="269" spans="19:34" x14ac:dyDescent="0.25">
      <c r="S269" s="12">
        <v>108190</v>
      </c>
      <c r="T269" s="12">
        <v>108220</v>
      </c>
      <c r="U269" s="12">
        <v>108170</v>
      </c>
      <c r="V269" s="12">
        <v>108170</v>
      </c>
      <c r="W269" s="11">
        <v>114420</v>
      </c>
      <c r="X269" s="11">
        <v>114460</v>
      </c>
      <c r="Y269" s="11">
        <v>114410</v>
      </c>
      <c r="Z269" s="11">
        <v>114450</v>
      </c>
      <c r="AA269" s="11">
        <v>109800</v>
      </c>
      <c r="AB269" s="11">
        <v>109820</v>
      </c>
      <c r="AC269" s="11">
        <v>109770</v>
      </c>
      <c r="AD269" s="11">
        <v>109810</v>
      </c>
      <c r="AE269" s="12">
        <v>111390</v>
      </c>
      <c r="AF269" s="12">
        <v>111400</v>
      </c>
      <c r="AG269" s="12">
        <v>111360</v>
      </c>
      <c r="AH269" s="12">
        <v>111370</v>
      </c>
    </row>
    <row r="270" spans="19:34" x14ac:dyDescent="0.25">
      <c r="S270" s="11">
        <v>108140</v>
      </c>
      <c r="T270" s="11">
        <v>108160</v>
      </c>
      <c r="U270" s="11">
        <v>108140</v>
      </c>
      <c r="V270" s="11">
        <v>108140</v>
      </c>
      <c r="W270" s="12">
        <v>114450</v>
      </c>
      <c r="X270" s="12">
        <v>114450</v>
      </c>
      <c r="Y270" s="12">
        <v>114390</v>
      </c>
      <c r="Z270" s="12">
        <v>114410</v>
      </c>
      <c r="AA270" s="12">
        <v>109810</v>
      </c>
      <c r="AB270" s="12">
        <v>109870</v>
      </c>
      <c r="AC270" s="12">
        <v>109810</v>
      </c>
      <c r="AD270" s="12">
        <v>109850</v>
      </c>
      <c r="AE270" s="11">
        <v>111370</v>
      </c>
      <c r="AF270" s="11">
        <v>111380</v>
      </c>
      <c r="AG270" s="11">
        <v>111310</v>
      </c>
      <c r="AH270" s="11">
        <v>111380</v>
      </c>
    </row>
    <row r="271" spans="19:34" x14ac:dyDescent="0.25">
      <c r="S271" s="12">
        <v>108140</v>
      </c>
      <c r="T271" s="12">
        <v>108150</v>
      </c>
      <c r="U271" s="12">
        <v>108140</v>
      </c>
      <c r="V271" s="12">
        <v>108150</v>
      </c>
      <c r="W271" s="11">
        <v>114410</v>
      </c>
      <c r="X271" s="11">
        <v>114420</v>
      </c>
      <c r="Y271" s="11">
        <v>114250</v>
      </c>
      <c r="Z271" s="11">
        <v>114300</v>
      </c>
      <c r="AA271" s="11">
        <v>109850</v>
      </c>
      <c r="AB271" s="11">
        <v>109950</v>
      </c>
      <c r="AC271" s="11">
        <v>109830</v>
      </c>
      <c r="AD271" s="11">
        <v>109930</v>
      </c>
      <c r="AE271" s="12">
        <v>111370</v>
      </c>
      <c r="AF271" s="12">
        <v>111390</v>
      </c>
      <c r="AG271" s="12">
        <v>111330</v>
      </c>
      <c r="AH271" s="12">
        <v>111330</v>
      </c>
    </row>
    <row r="272" spans="19:34" x14ac:dyDescent="0.25">
      <c r="S272" s="11">
        <v>108150</v>
      </c>
      <c r="T272" s="11">
        <v>108150</v>
      </c>
      <c r="U272" s="11">
        <v>108130</v>
      </c>
      <c r="V272" s="11">
        <v>108130</v>
      </c>
      <c r="W272" s="12">
        <v>114290</v>
      </c>
      <c r="X272" s="12">
        <v>114370</v>
      </c>
      <c r="Y272" s="12">
        <v>114260</v>
      </c>
      <c r="Z272" s="12">
        <v>114360</v>
      </c>
      <c r="AA272" s="12">
        <v>109930</v>
      </c>
      <c r="AB272" s="12">
        <v>109940</v>
      </c>
      <c r="AC272" s="12">
        <v>109840</v>
      </c>
      <c r="AD272" s="12">
        <v>109860</v>
      </c>
      <c r="AE272" s="11">
        <v>111330</v>
      </c>
      <c r="AF272" s="11">
        <v>111350</v>
      </c>
      <c r="AG272" s="11">
        <v>111300</v>
      </c>
      <c r="AH272" s="11">
        <v>111310</v>
      </c>
    </row>
    <row r="273" spans="19:34" x14ac:dyDescent="0.25">
      <c r="S273" s="12">
        <v>108110</v>
      </c>
      <c r="T273" s="12">
        <v>108130</v>
      </c>
      <c r="U273" s="12">
        <v>108110</v>
      </c>
      <c r="V273" s="12">
        <v>108130</v>
      </c>
      <c r="W273" s="11">
        <v>114360</v>
      </c>
      <c r="X273" s="11">
        <v>114380</v>
      </c>
      <c r="Y273" s="11">
        <v>114340</v>
      </c>
      <c r="Z273" s="11">
        <v>114370</v>
      </c>
      <c r="AA273" s="11">
        <v>109870</v>
      </c>
      <c r="AB273" s="11">
        <v>109890</v>
      </c>
      <c r="AC273" s="11">
        <v>109830</v>
      </c>
      <c r="AD273" s="11">
        <v>109870</v>
      </c>
      <c r="AE273" s="12">
        <v>111310</v>
      </c>
      <c r="AF273" s="12">
        <v>111360</v>
      </c>
      <c r="AG273" s="12">
        <v>111300</v>
      </c>
      <c r="AH273" s="12">
        <v>111330</v>
      </c>
    </row>
    <row r="274" spans="19:34" x14ac:dyDescent="0.25">
      <c r="S274" s="11">
        <v>108190</v>
      </c>
      <c r="T274" s="11">
        <v>108200</v>
      </c>
      <c r="U274" s="11">
        <v>108150</v>
      </c>
      <c r="V274" s="11">
        <v>108150</v>
      </c>
      <c r="W274" s="12">
        <v>114370</v>
      </c>
      <c r="X274" s="12">
        <v>114380</v>
      </c>
      <c r="Y274" s="12">
        <v>114330</v>
      </c>
      <c r="Z274" s="12">
        <v>114360</v>
      </c>
      <c r="AA274" s="12">
        <v>109870</v>
      </c>
      <c r="AB274" s="12">
        <v>109880</v>
      </c>
      <c r="AC274" s="12">
        <v>109830</v>
      </c>
      <c r="AD274" s="12">
        <v>109830</v>
      </c>
      <c r="AE274" s="11">
        <v>111330</v>
      </c>
      <c r="AF274" s="11">
        <v>111350</v>
      </c>
      <c r="AG274" s="11">
        <v>111310</v>
      </c>
      <c r="AH274" s="11">
        <v>111350</v>
      </c>
    </row>
    <row r="275" spans="19:34" x14ac:dyDescent="0.25">
      <c r="S275" s="12">
        <v>108160</v>
      </c>
      <c r="T275" s="12">
        <v>108160</v>
      </c>
      <c r="U275" s="12">
        <v>108140</v>
      </c>
      <c r="V275" s="12">
        <v>108140</v>
      </c>
      <c r="W275" s="11">
        <v>114370</v>
      </c>
      <c r="X275" s="11">
        <v>114400</v>
      </c>
      <c r="Y275" s="11">
        <v>114370</v>
      </c>
      <c r="Z275" s="11">
        <v>114400</v>
      </c>
      <c r="AA275" s="11">
        <v>109830</v>
      </c>
      <c r="AB275" s="11">
        <v>109900</v>
      </c>
      <c r="AC275" s="11">
        <v>109820</v>
      </c>
      <c r="AD275" s="11">
        <v>109880</v>
      </c>
      <c r="AE275" s="12">
        <v>111330</v>
      </c>
      <c r="AF275" s="12">
        <v>111350</v>
      </c>
      <c r="AG275" s="12">
        <v>111310</v>
      </c>
      <c r="AH275" s="12">
        <v>111350</v>
      </c>
    </row>
    <row r="276" spans="19:34" x14ac:dyDescent="0.25">
      <c r="S276" s="11">
        <v>108140</v>
      </c>
      <c r="T276" s="11">
        <v>108160</v>
      </c>
      <c r="U276" s="11">
        <v>108120</v>
      </c>
      <c r="V276" s="11">
        <v>108160</v>
      </c>
      <c r="W276" s="12">
        <v>114390</v>
      </c>
      <c r="X276" s="12">
        <v>114400</v>
      </c>
      <c r="Y276" s="12">
        <v>114350</v>
      </c>
      <c r="Z276" s="12">
        <v>114380</v>
      </c>
      <c r="AA276" s="12">
        <v>109890</v>
      </c>
      <c r="AB276" s="12">
        <v>109920</v>
      </c>
      <c r="AC276" s="12">
        <v>109880</v>
      </c>
      <c r="AD276" s="12">
        <v>109920</v>
      </c>
      <c r="AE276" s="11">
        <v>111350</v>
      </c>
      <c r="AF276" s="11">
        <v>111360</v>
      </c>
      <c r="AG276" s="11">
        <v>111320</v>
      </c>
      <c r="AH276" s="11">
        <v>111360</v>
      </c>
    </row>
    <row r="277" spans="19:34" x14ac:dyDescent="0.25">
      <c r="S277" s="12">
        <v>108250</v>
      </c>
      <c r="T277" s="12">
        <v>108260</v>
      </c>
      <c r="U277" s="12">
        <v>108240</v>
      </c>
      <c r="V277" s="12">
        <v>108240</v>
      </c>
      <c r="W277" s="11">
        <v>114370</v>
      </c>
      <c r="X277" s="11">
        <v>114400</v>
      </c>
      <c r="Y277" s="11">
        <v>114320</v>
      </c>
      <c r="Z277" s="11">
        <v>114400</v>
      </c>
      <c r="AA277" s="11">
        <v>109920</v>
      </c>
      <c r="AB277" s="11">
        <v>109940</v>
      </c>
      <c r="AC277" s="11">
        <v>109870</v>
      </c>
      <c r="AD277" s="11">
        <v>109900</v>
      </c>
      <c r="AE277" s="12">
        <v>111360</v>
      </c>
      <c r="AF277" s="12">
        <v>111360</v>
      </c>
      <c r="AG277" s="12">
        <v>111280</v>
      </c>
      <c r="AH277" s="12">
        <v>111300</v>
      </c>
    </row>
    <row r="278" spans="19:34" x14ac:dyDescent="0.25">
      <c r="S278" s="11">
        <v>108230</v>
      </c>
      <c r="T278" s="11">
        <v>108240</v>
      </c>
      <c r="U278" s="11">
        <v>108220</v>
      </c>
      <c r="V278" s="11">
        <v>108230</v>
      </c>
      <c r="W278" s="12">
        <v>114400</v>
      </c>
      <c r="X278" s="12">
        <v>114420</v>
      </c>
      <c r="Y278" s="12">
        <v>114360</v>
      </c>
      <c r="Z278" s="12">
        <v>114410</v>
      </c>
      <c r="AA278" s="12">
        <v>109900</v>
      </c>
      <c r="AB278" s="12">
        <v>109950</v>
      </c>
      <c r="AC278" s="12">
        <v>109900</v>
      </c>
      <c r="AD278" s="12">
        <v>109920</v>
      </c>
      <c r="AE278" s="11">
        <v>111280</v>
      </c>
      <c r="AF278" s="11">
        <v>111340</v>
      </c>
      <c r="AG278" s="11">
        <v>111270</v>
      </c>
      <c r="AH278" s="11">
        <v>111280</v>
      </c>
    </row>
    <row r="279" spans="19:34" x14ac:dyDescent="0.25">
      <c r="S279" s="12">
        <v>108260</v>
      </c>
      <c r="T279" s="12">
        <v>108270</v>
      </c>
      <c r="U279" s="12">
        <v>108170</v>
      </c>
      <c r="V279" s="12">
        <v>108180</v>
      </c>
      <c r="W279" s="11">
        <v>114390</v>
      </c>
      <c r="X279" s="11">
        <v>114450</v>
      </c>
      <c r="Y279" s="11">
        <v>114390</v>
      </c>
      <c r="Z279" s="11">
        <v>114440</v>
      </c>
      <c r="AA279" s="11">
        <v>109920</v>
      </c>
      <c r="AB279" s="11">
        <v>109950</v>
      </c>
      <c r="AC279" s="11">
        <v>109910</v>
      </c>
      <c r="AD279" s="11">
        <v>109940</v>
      </c>
      <c r="AE279" s="12">
        <v>111270</v>
      </c>
      <c r="AF279" s="12">
        <v>111290</v>
      </c>
      <c r="AG279" s="12">
        <v>111200</v>
      </c>
      <c r="AH279" s="12">
        <v>111230</v>
      </c>
    </row>
    <row r="280" spans="19:34" x14ac:dyDescent="0.25">
      <c r="S280" s="11">
        <v>108160</v>
      </c>
      <c r="T280" s="11">
        <v>108160</v>
      </c>
      <c r="U280" s="11">
        <v>108140</v>
      </c>
      <c r="V280" s="11">
        <v>108140</v>
      </c>
      <c r="W280" s="12">
        <v>114440</v>
      </c>
      <c r="X280" s="12">
        <v>114450</v>
      </c>
      <c r="Y280" s="12">
        <v>114410</v>
      </c>
      <c r="Z280" s="12">
        <v>114430</v>
      </c>
      <c r="AA280" s="12">
        <v>109940</v>
      </c>
      <c r="AB280" s="12">
        <v>110000</v>
      </c>
      <c r="AC280" s="12">
        <v>109920</v>
      </c>
      <c r="AD280" s="12">
        <v>109980</v>
      </c>
      <c r="AE280" s="11">
        <v>111230</v>
      </c>
      <c r="AF280" s="11">
        <v>111240</v>
      </c>
      <c r="AG280" s="11">
        <v>111110</v>
      </c>
      <c r="AH280" s="11">
        <v>111130</v>
      </c>
    </row>
    <row r="281" spans="19:34" x14ac:dyDescent="0.25">
      <c r="S281" s="12">
        <v>108120</v>
      </c>
      <c r="T281" s="12">
        <v>108120</v>
      </c>
      <c r="U281" s="12">
        <v>108120</v>
      </c>
      <c r="V281" s="12">
        <v>108120</v>
      </c>
      <c r="W281" s="11">
        <v>114440</v>
      </c>
      <c r="X281" s="11">
        <v>114510</v>
      </c>
      <c r="Y281" s="11">
        <v>114430</v>
      </c>
      <c r="Z281" s="11">
        <v>114510</v>
      </c>
      <c r="AA281" s="11">
        <v>109970</v>
      </c>
      <c r="AB281" s="11">
        <v>110020</v>
      </c>
      <c r="AC281" s="11">
        <v>109960</v>
      </c>
      <c r="AD281" s="11">
        <v>110000</v>
      </c>
      <c r="AE281" s="12">
        <v>111150</v>
      </c>
      <c r="AF281" s="12">
        <v>111200</v>
      </c>
      <c r="AG281" s="12">
        <v>111040</v>
      </c>
      <c r="AH281" s="12">
        <v>111160</v>
      </c>
    </row>
    <row r="282" spans="19:34" x14ac:dyDescent="0.25">
      <c r="S282" s="11">
        <v>108130</v>
      </c>
      <c r="T282" s="11">
        <v>108130</v>
      </c>
      <c r="U282" s="11">
        <v>108060</v>
      </c>
      <c r="V282" s="11">
        <v>108120</v>
      </c>
      <c r="W282" s="12">
        <v>114510</v>
      </c>
      <c r="X282" s="12">
        <v>114550</v>
      </c>
      <c r="Y282" s="12">
        <v>114460</v>
      </c>
      <c r="Z282" s="12">
        <v>114480</v>
      </c>
      <c r="AA282" s="12">
        <v>110010</v>
      </c>
      <c r="AB282" s="12">
        <v>110040</v>
      </c>
      <c r="AC282" s="12">
        <v>109990</v>
      </c>
      <c r="AD282" s="12">
        <v>110010</v>
      </c>
      <c r="AE282" s="11">
        <v>111160</v>
      </c>
      <c r="AF282" s="11">
        <v>111190</v>
      </c>
      <c r="AG282" s="11">
        <v>111110</v>
      </c>
      <c r="AH282" s="11">
        <v>111190</v>
      </c>
    </row>
    <row r="283" spans="19:34" x14ac:dyDescent="0.25">
      <c r="S283" s="12">
        <v>108130</v>
      </c>
      <c r="T283" s="12">
        <v>108130</v>
      </c>
      <c r="U283" s="12">
        <v>108130</v>
      </c>
      <c r="V283" s="12">
        <v>108130</v>
      </c>
      <c r="W283" s="11">
        <v>114470</v>
      </c>
      <c r="X283" s="11">
        <v>114500</v>
      </c>
      <c r="Y283" s="11">
        <v>114450</v>
      </c>
      <c r="Z283" s="11">
        <v>114450</v>
      </c>
      <c r="AA283" s="11">
        <v>110000</v>
      </c>
      <c r="AB283" s="11">
        <v>110100</v>
      </c>
      <c r="AC283" s="11">
        <v>109990</v>
      </c>
      <c r="AD283" s="11">
        <v>109990</v>
      </c>
      <c r="AE283" s="12">
        <v>111190</v>
      </c>
      <c r="AF283" s="12">
        <v>111300</v>
      </c>
      <c r="AG283" s="12">
        <v>111170</v>
      </c>
      <c r="AH283" s="12">
        <v>111270</v>
      </c>
    </row>
    <row r="284" spans="19:34" x14ac:dyDescent="0.25">
      <c r="S284" s="11">
        <v>108150</v>
      </c>
      <c r="T284" s="11">
        <v>108150</v>
      </c>
      <c r="U284" s="11">
        <v>108100</v>
      </c>
      <c r="V284" s="11">
        <v>108100</v>
      </c>
      <c r="W284" s="12">
        <v>114450</v>
      </c>
      <c r="X284" s="12">
        <v>114470</v>
      </c>
      <c r="Y284" s="12">
        <v>114400</v>
      </c>
      <c r="Z284" s="12">
        <v>114400</v>
      </c>
      <c r="AA284" s="12">
        <v>109990</v>
      </c>
      <c r="AB284" s="12">
        <v>110010</v>
      </c>
      <c r="AC284" s="12">
        <v>109900</v>
      </c>
      <c r="AD284" s="12">
        <v>110010</v>
      </c>
      <c r="AE284" s="11">
        <v>111290</v>
      </c>
      <c r="AF284" s="11">
        <v>111300</v>
      </c>
      <c r="AG284" s="11">
        <v>111230</v>
      </c>
      <c r="AH284" s="11">
        <v>111230</v>
      </c>
    </row>
    <row r="285" spans="19:34" x14ac:dyDescent="0.25">
      <c r="S285" s="12">
        <v>108100</v>
      </c>
      <c r="T285" s="12">
        <v>108100</v>
      </c>
      <c r="U285" s="12">
        <v>108100</v>
      </c>
      <c r="V285" s="12">
        <v>108100</v>
      </c>
      <c r="W285" s="11">
        <v>114400</v>
      </c>
      <c r="X285" s="11">
        <v>114410</v>
      </c>
      <c r="Y285" s="11">
        <v>114370</v>
      </c>
      <c r="Z285" s="11">
        <v>114390</v>
      </c>
      <c r="AA285" s="11">
        <v>110010</v>
      </c>
      <c r="AB285" s="11">
        <v>110030</v>
      </c>
      <c r="AC285" s="11">
        <v>109940</v>
      </c>
      <c r="AD285" s="11">
        <v>109950</v>
      </c>
      <c r="AE285" s="12">
        <v>111240</v>
      </c>
      <c r="AF285" s="12">
        <v>111350</v>
      </c>
      <c r="AG285" s="12">
        <v>111240</v>
      </c>
      <c r="AH285" s="12">
        <v>111320</v>
      </c>
    </row>
    <row r="286" spans="19:34" x14ac:dyDescent="0.25">
      <c r="S286" s="11">
        <v>108080</v>
      </c>
      <c r="T286" s="11">
        <v>108120</v>
      </c>
      <c r="U286" s="11">
        <v>108080</v>
      </c>
      <c r="V286" s="11">
        <v>108120</v>
      </c>
      <c r="W286" s="12">
        <v>114380</v>
      </c>
      <c r="X286" s="12">
        <v>114420</v>
      </c>
      <c r="Y286" s="12">
        <v>114370</v>
      </c>
      <c r="Z286" s="12">
        <v>114390</v>
      </c>
      <c r="AA286" s="12">
        <v>109970</v>
      </c>
      <c r="AB286" s="12">
        <v>110000</v>
      </c>
      <c r="AC286" s="12">
        <v>109950</v>
      </c>
      <c r="AD286" s="12">
        <v>109980</v>
      </c>
      <c r="AE286" s="11">
        <v>111320</v>
      </c>
      <c r="AF286" s="11">
        <v>111320</v>
      </c>
      <c r="AG286" s="11">
        <v>111250</v>
      </c>
      <c r="AH286" s="11">
        <v>111260</v>
      </c>
    </row>
    <row r="287" spans="19:34" x14ac:dyDescent="0.25">
      <c r="S287" s="12">
        <v>108110</v>
      </c>
      <c r="T287" s="12">
        <v>108110</v>
      </c>
      <c r="U287" s="12">
        <v>108090</v>
      </c>
      <c r="V287" s="12">
        <v>108090</v>
      </c>
      <c r="W287" s="11">
        <v>114390</v>
      </c>
      <c r="X287" s="11">
        <v>114420</v>
      </c>
      <c r="Y287" s="11">
        <v>114360</v>
      </c>
      <c r="Z287" s="11">
        <v>114400</v>
      </c>
      <c r="AA287" s="11">
        <v>109970</v>
      </c>
      <c r="AB287" s="11">
        <v>109980</v>
      </c>
      <c r="AC287" s="11">
        <v>109840</v>
      </c>
      <c r="AD287" s="11">
        <v>109870</v>
      </c>
      <c r="AE287" s="12">
        <v>111270</v>
      </c>
      <c r="AF287" s="12">
        <v>111290</v>
      </c>
      <c r="AG287" s="12">
        <v>111250</v>
      </c>
      <c r="AH287" s="12">
        <v>111260</v>
      </c>
    </row>
    <row r="288" spans="19:34" x14ac:dyDescent="0.25">
      <c r="S288" s="11">
        <v>108080</v>
      </c>
      <c r="T288" s="11">
        <v>108090</v>
      </c>
      <c r="U288" s="11">
        <v>108080</v>
      </c>
      <c r="V288" s="11">
        <v>108090</v>
      </c>
      <c r="W288" s="12">
        <v>114400</v>
      </c>
      <c r="X288" s="12">
        <v>114430</v>
      </c>
      <c r="Y288" s="12">
        <v>114350</v>
      </c>
      <c r="Z288" s="12">
        <v>114360</v>
      </c>
      <c r="AA288" s="12">
        <v>109870</v>
      </c>
      <c r="AB288" s="12">
        <v>109880</v>
      </c>
      <c r="AC288" s="12">
        <v>109850</v>
      </c>
      <c r="AD288" s="12">
        <v>109870</v>
      </c>
      <c r="AE288" s="11">
        <v>111260</v>
      </c>
      <c r="AF288" s="11">
        <v>111280</v>
      </c>
      <c r="AG288" s="11">
        <v>111230</v>
      </c>
      <c r="AH288" s="11">
        <v>111280</v>
      </c>
    </row>
    <row r="289" spans="19:34" x14ac:dyDescent="0.25">
      <c r="S289" s="12">
        <v>108100</v>
      </c>
      <c r="T289" s="12">
        <v>108130</v>
      </c>
      <c r="U289" s="12">
        <v>108100</v>
      </c>
      <c r="V289" s="12">
        <v>108100</v>
      </c>
      <c r="W289" s="11">
        <v>114370</v>
      </c>
      <c r="X289" s="11">
        <v>114440</v>
      </c>
      <c r="Y289" s="11">
        <v>114370</v>
      </c>
      <c r="Z289" s="11">
        <v>114420</v>
      </c>
      <c r="AA289" s="11">
        <v>109870</v>
      </c>
      <c r="AB289" s="11">
        <v>109900</v>
      </c>
      <c r="AC289" s="11">
        <v>109820</v>
      </c>
      <c r="AD289" s="11">
        <v>109870</v>
      </c>
      <c r="AE289" s="12">
        <v>111280</v>
      </c>
      <c r="AF289" s="12">
        <v>111320</v>
      </c>
      <c r="AG289" s="12">
        <v>111250</v>
      </c>
      <c r="AH289" s="12">
        <v>111320</v>
      </c>
    </row>
    <row r="290" spans="19:34" x14ac:dyDescent="0.25">
      <c r="S290" s="11">
        <v>108120</v>
      </c>
      <c r="T290" s="11">
        <v>108130</v>
      </c>
      <c r="U290" s="11">
        <v>108120</v>
      </c>
      <c r="V290" s="11">
        <v>108130</v>
      </c>
      <c r="W290" s="12">
        <v>114430</v>
      </c>
      <c r="X290" s="12">
        <v>114490</v>
      </c>
      <c r="Y290" s="12">
        <v>114430</v>
      </c>
      <c r="Z290" s="12">
        <v>114470</v>
      </c>
      <c r="AA290" s="12">
        <v>109860</v>
      </c>
      <c r="AB290" s="12">
        <v>109860</v>
      </c>
      <c r="AC290" s="12">
        <v>109800</v>
      </c>
      <c r="AD290" s="12">
        <v>109820</v>
      </c>
      <c r="AE290" s="11">
        <v>111320</v>
      </c>
      <c r="AF290" s="11">
        <v>111330</v>
      </c>
      <c r="AG290" s="11">
        <v>111240</v>
      </c>
      <c r="AH290" s="11">
        <v>111270</v>
      </c>
    </row>
    <row r="291" spans="19:34" x14ac:dyDescent="0.25">
      <c r="S291" s="12">
        <v>108110</v>
      </c>
      <c r="T291" s="12">
        <v>108110</v>
      </c>
      <c r="U291" s="12">
        <v>108110</v>
      </c>
      <c r="V291" s="12">
        <v>108110</v>
      </c>
      <c r="W291" s="11">
        <v>114480</v>
      </c>
      <c r="X291" s="11">
        <v>114480</v>
      </c>
      <c r="Y291" s="11">
        <v>114430</v>
      </c>
      <c r="Z291" s="11">
        <v>114450</v>
      </c>
      <c r="AA291" s="11">
        <v>109820</v>
      </c>
      <c r="AB291" s="11">
        <v>109850</v>
      </c>
      <c r="AC291" s="11">
        <v>109800</v>
      </c>
      <c r="AD291" s="11">
        <v>109830</v>
      </c>
      <c r="AE291" s="12">
        <v>111260</v>
      </c>
      <c r="AF291" s="12">
        <v>111260</v>
      </c>
      <c r="AG291" s="12">
        <v>111240</v>
      </c>
      <c r="AH291" s="12">
        <v>111240</v>
      </c>
    </row>
    <row r="292" spans="19:34" x14ac:dyDescent="0.25">
      <c r="S292" s="11">
        <v>108140</v>
      </c>
      <c r="T292" s="11">
        <v>108150</v>
      </c>
      <c r="U292" s="11">
        <v>108140</v>
      </c>
      <c r="V292" s="11">
        <v>108150</v>
      </c>
      <c r="W292" s="12">
        <v>114460</v>
      </c>
      <c r="X292" s="12">
        <v>114470</v>
      </c>
      <c r="Y292" s="12">
        <v>114390</v>
      </c>
      <c r="Z292" s="12">
        <v>114440</v>
      </c>
      <c r="AA292" s="12">
        <v>109840</v>
      </c>
      <c r="AB292" s="12">
        <v>109870</v>
      </c>
      <c r="AC292" s="12">
        <v>109800</v>
      </c>
      <c r="AD292" s="12">
        <v>109870</v>
      </c>
      <c r="AE292" s="11">
        <v>111240</v>
      </c>
      <c r="AF292" s="11">
        <v>111240</v>
      </c>
      <c r="AG292" s="11">
        <v>111160</v>
      </c>
      <c r="AH292" s="11">
        <v>111230</v>
      </c>
    </row>
    <row r="293" spans="19:34" x14ac:dyDescent="0.25">
      <c r="S293" s="12">
        <v>108140</v>
      </c>
      <c r="T293" s="12">
        <v>108140</v>
      </c>
      <c r="U293" s="12">
        <v>108090</v>
      </c>
      <c r="V293" s="12">
        <v>108090</v>
      </c>
      <c r="W293" s="11">
        <v>114440</v>
      </c>
      <c r="X293" s="11">
        <v>114490</v>
      </c>
      <c r="Y293" s="11">
        <v>114440</v>
      </c>
      <c r="Z293" s="11">
        <v>114490</v>
      </c>
      <c r="AA293" s="11">
        <v>109870</v>
      </c>
      <c r="AB293" s="11">
        <v>109870</v>
      </c>
      <c r="AC293" s="11">
        <v>109780</v>
      </c>
      <c r="AD293" s="11">
        <v>109820</v>
      </c>
      <c r="AE293" s="12">
        <v>111220</v>
      </c>
      <c r="AF293" s="12">
        <v>111310</v>
      </c>
      <c r="AG293" s="12">
        <v>111220</v>
      </c>
      <c r="AH293" s="12">
        <v>111290</v>
      </c>
    </row>
    <row r="294" spans="19:34" x14ac:dyDescent="0.25">
      <c r="S294" s="11">
        <v>108140</v>
      </c>
      <c r="T294" s="11">
        <v>108140</v>
      </c>
      <c r="U294" s="11">
        <v>108140</v>
      </c>
      <c r="V294" s="11">
        <v>108140</v>
      </c>
      <c r="W294" s="12">
        <v>114480</v>
      </c>
      <c r="X294" s="12">
        <v>114590</v>
      </c>
      <c r="Y294" s="12">
        <v>114480</v>
      </c>
      <c r="Z294" s="12">
        <v>114560</v>
      </c>
      <c r="AA294" s="12">
        <v>109820</v>
      </c>
      <c r="AB294" s="12">
        <v>109830</v>
      </c>
      <c r="AC294" s="12">
        <v>109720</v>
      </c>
      <c r="AD294" s="12">
        <v>109760</v>
      </c>
      <c r="AE294" s="11">
        <v>111300</v>
      </c>
      <c r="AF294" s="11">
        <v>111350</v>
      </c>
      <c r="AG294" s="11">
        <v>111250</v>
      </c>
      <c r="AH294" s="11">
        <v>111250</v>
      </c>
    </row>
    <row r="295" spans="19:34" x14ac:dyDescent="0.25">
      <c r="S295" s="12">
        <v>108120</v>
      </c>
      <c r="T295" s="12">
        <v>108120</v>
      </c>
      <c r="U295" s="12">
        <v>108100</v>
      </c>
      <c r="V295" s="12">
        <v>108100</v>
      </c>
      <c r="W295" s="11">
        <v>114560</v>
      </c>
      <c r="X295" s="11">
        <v>114600</v>
      </c>
      <c r="Y295" s="11">
        <v>114540</v>
      </c>
      <c r="Z295" s="11">
        <v>114600</v>
      </c>
      <c r="AA295" s="11">
        <v>109760</v>
      </c>
      <c r="AB295" s="11">
        <v>109810</v>
      </c>
      <c r="AC295" s="11">
        <v>109720</v>
      </c>
      <c r="AD295" s="11">
        <v>109800</v>
      </c>
      <c r="AE295" s="12">
        <v>111260</v>
      </c>
      <c r="AF295" s="12">
        <v>111290</v>
      </c>
      <c r="AG295" s="12">
        <v>111220</v>
      </c>
      <c r="AH295" s="12">
        <v>111290</v>
      </c>
    </row>
    <row r="296" spans="19:34" x14ac:dyDescent="0.25">
      <c r="S296" s="11">
        <v>108050</v>
      </c>
      <c r="T296" s="11">
        <v>108050</v>
      </c>
      <c r="U296" s="11">
        <v>108030</v>
      </c>
      <c r="V296" s="11">
        <v>108030</v>
      </c>
      <c r="W296" s="12">
        <v>114600</v>
      </c>
      <c r="X296" s="12">
        <v>114650</v>
      </c>
      <c r="Y296" s="12">
        <v>114570</v>
      </c>
      <c r="Z296" s="12">
        <v>114620</v>
      </c>
      <c r="AA296" s="12">
        <v>109800</v>
      </c>
      <c r="AB296" s="12">
        <v>109800</v>
      </c>
      <c r="AC296" s="12">
        <v>109740</v>
      </c>
      <c r="AD296" s="12">
        <v>109770</v>
      </c>
      <c r="AE296" s="11">
        <v>111280</v>
      </c>
      <c r="AF296" s="11">
        <v>111290</v>
      </c>
      <c r="AG296" s="11">
        <v>111230</v>
      </c>
      <c r="AH296" s="11">
        <v>111240</v>
      </c>
    </row>
    <row r="297" spans="19:34" x14ac:dyDescent="0.25">
      <c r="S297" s="12">
        <v>108060</v>
      </c>
      <c r="T297" s="12">
        <v>108080</v>
      </c>
      <c r="U297" s="12">
        <v>108010</v>
      </c>
      <c r="V297" s="12">
        <v>108020</v>
      </c>
      <c r="W297" s="11">
        <v>114610</v>
      </c>
      <c r="X297" s="11">
        <v>114680</v>
      </c>
      <c r="Y297" s="11">
        <v>114610</v>
      </c>
      <c r="Z297" s="11">
        <v>114640</v>
      </c>
      <c r="AA297" s="11">
        <v>109770</v>
      </c>
      <c r="AB297" s="11">
        <v>109900</v>
      </c>
      <c r="AC297" s="11">
        <v>109760</v>
      </c>
      <c r="AD297" s="11">
        <v>109900</v>
      </c>
      <c r="AE297" s="12">
        <v>111260</v>
      </c>
      <c r="AF297" s="12">
        <v>111260</v>
      </c>
      <c r="AG297" s="12">
        <v>111020</v>
      </c>
      <c r="AH297" s="12">
        <v>111060</v>
      </c>
    </row>
    <row r="298" spans="19:34" x14ac:dyDescent="0.25">
      <c r="S298" s="11">
        <v>108030</v>
      </c>
      <c r="T298" s="11">
        <v>108080</v>
      </c>
      <c r="U298" s="11">
        <v>108030</v>
      </c>
      <c r="V298" s="11">
        <v>108040</v>
      </c>
      <c r="W298" s="12">
        <v>114650</v>
      </c>
      <c r="X298" s="12">
        <v>114650</v>
      </c>
      <c r="Y298" s="12">
        <v>114580</v>
      </c>
      <c r="Z298" s="12">
        <v>114600</v>
      </c>
      <c r="AA298" s="12">
        <v>109890</v>
      </c>
      <c r="AB298" s="12">
        <v>109890</v>
      </c>
      <c r="AC298" s="12">
        <v>109840</v>
      </c>
      <c r="AD298" s="12">
        <v>109880</v>
      </c>
      <c r="AE298" s="11">
        <v>111060</v>
      </c>
      <c r="AF298" s="11">
        <v>111110</v>
      </c>
      <c r="AG298" s="11">
        <v>111000</v>
      </c>
      <c r="AH298" s="11">
        <v>111080</v>
      </c>
    </row>
    <row r="299" spans="19:34" x14ac:dyDescent="0.25">
      <c r="S299" s="12">
        <v>108060</v>
      </c>
      <c r="T299" s="12">
        <v>108060</v>
      </c>
      <c r="U299" s="12">
        <v>108060</v>
      </c>
      <c r="V299" s="12">
        <v>108060</v>
      </c>
      <c r="W299" s="11">
        <v>114590</v>
      </c>
      <c r="X299" s="11">
        <v>114610</v>
      </c>
      <c r="Y299" s="11">
        <v>114550</v>
      </c>
      <c r="Z299" s="11">
        <v>114570</v>
      </c>
      <c r="AA299" s="11">
        <v>109880</v>
      </c>
      <c r="AB299" s="11">
        <v>109890</v>
      </c>
      <c r="AC299" s="11">
        <v>109810</v>
      </c>
      <c r="AD299" s="11">
        <v>109880</v>
      </c>
      <c r="AE299" s="12">
        <v>111070</v>
      </c>
      <c r="AF299" s="12">
        <v>111130</v>
      </c>
      <c r="AG299" s="12">
        <v>111060</v>
      </c>
      <c r="AH299" s="12">
        <v>111080</v>
      </c>
    </row>
    <row r="300" spans="19:34" x14ac:dyDescent="0.25">
      <c r="S300" s="11">
        <v>108000</v>
      </c>
      <c r="T300" s="11">
        <v>108000</v>
      </c>
      <c r="U300" s="11">
        <v>107970</v>
      </c>
      <c r="V300" s="11">
        <v>107970</v>
      </c>
      <c r="W300" s="12">
        <v>114580</v>
      </c>
      <c r="X300" s="12">
        <v>114600</v>
      </c>
      <c r="Y300" s="12">
        <v>114540</v>
      </c>
      <c r="Z300" s="12">
        <v>114590</v>
      </c>
      <c r="AA300" s="12">
        <v>109880</v>
      </c>
      <c r="AB300" s="12">
        <v>109890</v>
      </c>
      <c r="AC300" s="12">
        <v>109830</v>
      </c>
      <c r="AD300" s="12">
        <v>109840</v>
      </c>
      <c r="AE300" s="11">
        <v>111070</v>
      </c>
      <c r="AF300" s="11">
        <v>111150</v>
      </c>
      <c r="AG300" s="11">
        <v>111030</v>
      </c>
      <c r="AH300" s="11">
        <v>111130</v>
      </c>
    </row>
    <row r="301" spans="19:34" x14ac:dyDescent="0.25">
      <c r="S301" s="12">
        <v>107980</v>
      </c>
      <c r="T301" s="12">
        <v>108190</v>
      </c>
      <c r="U301" s="12">
        <v>107980</v>
      </c>
      <c r="V301" s="12">
        <v>108170</v>
      </c>
      <c r="W301" s="11">
        <v>114590</v>
      </c>
      <c r="X301" s="11">
        <v>114620</v>
      </c>
      <c r="Y301" s="11">
        <v>114580</v>
      </c>
      <c r="Z301" s="11">
        <v>114600</v>
      </c>
      <c r="AA301" s="11">
        <v>109850</v>
      </c>
      <c r="AB301" s="11">
        <v>109920</v>
      </c>
      <c r="AC301" s="11">
        <v>109830</v>
      </c>
      <c r="AD301" s="11">
        <v>109870</v>
      </c>
      <c r="AE301" s="12">
        <v>111130</v>
      </c>
      <c r="AF301" s="12">
        <v>111130</v>
      </c>
      <c r="AG301" s="12">
        <v>111090</v>
      </c>
      <c r="AH301" s="12">
        <v>111090</v>
      </c>
    </row>
    <row r="302" spans="19:34" x14ac:dyDescent="0.25">
      <c r="S302" s="11">
        <v>108090</v>
      </c>
      <c r="T302" s="11">
        <v>108090</v>
      </c>
      <c r="U302" s="11">
        <v>108090</v>
      </c>
      <c r="V302" s="11">
        <v>108090</v>
      </c>
      <c r="W302" s="12">
        <v>114600</v>
      </c>
      <c r="X302" s="12">
        <v>114660</v>
      </c>
      <c r="Y302" s="12">
        <v>114560</v>
      </c>
      <c r="Z302" s="12">
        <v>114660</v>
      </c>
      <c r="AA302" s="12">
        <v>109870</v>
      </c>
      <c r="AB302" s="12">
        <v>109870</v>
      </c>
      <c r="AC302" s="12">
        <v>109720</v>
      </c>
      <c r="AD302" s="12">
        <v>109740</v>
      </c>
      <c r="AE302" s="11">
        <v>111090</v>
      </c>
      <c r="AF302" s="11">
        <v>111140</v>
      </c>
      <c r="AG302" s="11">
        <v>111080</v>
      </c>
      <c r="AH302" s="11">
        <v>111120</v>
      </c>
    </row>
    <row r="303" spans="19:34" x14ac:dyDescent="0.25">
      <c r="S303" s="12">
        <v>108140</v>
      </c>
      <c r="T303" s="12">
        <v>108140</v>
      </c>
      <c r="U303" s="12">
        <v>108110</v>
      </c>
      <c r="V303" s="12">
        <v>108110</v>
      </c>
      <c r="W303" s="11">
        <v>114660</v>
      </c>
      <c r="X303" s="11">
        <v>114700</v>
      </c>
      <c r="Y303" s="11">
        <v>114620</v>
      </c>
      <c r="Z303" s="11">
        <v>114660</v>
      </c>
      <c r="AA303" s="11">
        <v>109730</v>
      </c>
      <c r="AB303" s="11">
        <v>109790</v>
      </c>
      <c r="AC303" s="11">
        <v>109730</v>
      </c>
      <c r="AD303" s="11">
        <v>109760</v>
      </c>
      <c r="AE303" s="12">
        <v>111120</v>
      </c>
      <c r="AF303" s="12">
        <v>111190</v>
      </c>
      <c r="AG303" s="12">
        <v>111110</v>
      </c>
      <c r="AH303" s="12">
        <v>111110</v>
      </c>
    </row>
    <row r="304" spans="19:34" x14ac:dyDescent="0.25">
      <c r="S304" s="11">
        <v>108150</v>
      </c>
      <c r="T304" s="11">
        <v>108150</v>
      </c>
      <c r="U304" s="11">
        <v>108130</v>
      </c>
      <c r="V304" s="11">
        <v>108130</v>
      </c>
      <c r="W304" s="12">
        <v>114670</v>
      </c>
      <c r="X304" s="12">
        <v>114670</v>
      </c>
      <c r="Y304" s="12">
        <v>114630</v>
      </c>
      <c r="Z304" s="12">
        <v>114640</v>
      </c>
      <c r="AA304" s="12">
        <v>109780</v>
      </c>
      <c r="AB304" s="12">
        <v>109820</v>
      </c>
      <c r="AC304" s="12">
        <v>109770</v>
      </c>
      <c r="AD304" s="12">
        <v>109800</v>
      </c>
      <c r="AE304" s="11">
        <v>111120</v>
      </c>
      <c r="AF304" s="11">
        <v>111170</v>
      </c>
      <c r="AG304" s="11">
        <v>111110</v>
      </c>
      <c r="AH304" s="11">
        <v>111170</v>
      </c>
    </row>
    <row r="305" spans="19:34" x14ac:dyDescent="0.25">
      <c r="S305" s="12">
        <v>108120</v>
      </c>
      <c r="T305" s="12">
        <v>108220</v>
      </c>
      <c r="U305" s="12">
        <v>108120</v>
      </c>
      <c r="V305" s="12">
        <v>108220</v>
      </c>
      <c r="W305" s="11">
        <v>114640</v>
      </c>
      <c r="X305" s="11">
        <v>114690</v>
      </c>
      <c r="Y305" s="11">
        <v>114620</v>
      </c>
      <c r="Z305" s="11">
        <v>114680</v>
      </c>
      <c r="AA305" s="11">
        <v>109780</v>
      </c>
      <c r="AB305" s="11">
        <v>109860</v>
      </c>
      <c r="AC305" s="11">
        <v>109760</v>
      </c>
      <c r="AD305" s="11">
        <v>109810</v>
      </c>
      <c r="AE305" s="12">
        <v>111170</v>
      </c>
      <c r="AF305" s="12">
        <v>111170</v>
      </c>
      <c r="AG305" s="12">
        <v>111130</v>
      </c>
      <c r="AH305" s="12">
        <v>111160</v>
      </c>
    </row>
    <row r="306" spans="19:34" x14ac:dyDescent="0.25">
      <c r="S306" s="11">
        <v>108220</v>
      </c>
      <c r="T306" s="11">
        <v>108360</v>
      </c>
      <c r="U306" s="11">
        <v>108220</v>
      </c>
      <c r="V306" s="11">
        <v>108300</v>
      </c>
      <c r="W306" s="12">
        <v>114660</v>
      </c>
      <c r="X306" s="12">
        <v>114670</v>
      </c>
      <c r="Y306" s="12">
        <v>114630</v>
      </c>
      <c r="Z306" s="12">
        <v>114630</v>
      </c>
      <c r="AA306" s="12">
        <v>109820</v>
      </c>
      <c r="AB306" s="12">
        <v>109850</v>
      </c>
      <c r="AC306" s="12">
        <v>109810</v>
      </c>
      <c r="AD306" s="12">
        <v>109810</v>
      </c>
      <c r="AE306" s="11">
        <v>111160</v>
      </c>
      <c r="AF306" s="11">
        <v>111160</v>
      </c>
      <c r="AG306" s="11">
        <v>111140</v>
      </c>
      <c r="AH306" s="11">
        <v>111150</v>
      </c>
    </row>
    <row r="307" spans="19:34" x14ac:dyDescent="0.25">
      <c r="S307" s="12">
        <v>108220</v>
      </c>
      <c r="T307" s="12">
        <v>108250</v>
      </c>
      <c r="U307" s="12">
        <v>108200</v>
      </c>
      <c r="V307" s="12">
        <v>108230</v>
      </c>
      <c r="W307" s="11">
        <v>114640</v>
      </c>
      <c r="X307" s="11">
        <v>114800</v>
      </c>
      <c r="Y307" s="11">
        <v>114640</v>
      </c>
      <c r="Z307" s="11">
        <v>114780</v>
      </c>
      <c r="AA307" s="11">
        <v>109820</v>
      </c>
      <c r="AB307" s="11">
        <v>109850</v>
      </c>
      <c r="AC307" s="11">
        <v>109780</v>
      </c>
      <c r="AD307" s="11">
        <v>109850</v>
      </c>
      <c r="AE307" s="12">
        <v>111150</v>
      </c>
      <c r="AF307" s="12">
        <v>111200</v>
      </c>
      <c r="AG307" s="12">
        <v>111120</v>
      </c>
      <c r="AH307" s="12">
        <v>111200</v>
      </c>
    </row>
    <row r="308" spans="19:34" x14ac:dyDescent="0.25">
      <c r="S308" s="11">
        <v>108290</v>
      </c>
      <c r="T308" s="11">
        <v>108290</v>
      </c>
      <c r="U308" s="11">
        <v>108290</v>
      </c>
      <c r="V308" s="11">
        <v>108290</v>
      </c>
      <c r="W308" s="12">
        <v>114780</v>
      </c>
      <c r="X308" s="12">
        <v>114840</v>
      </c>
      <c r="Y308" s="12">
        <v>114760</v>
      </c>
      <c r="Z308" s="12">
        <v>114760</v>
      </c>
      <c r="AA308" s="12">
        <v>109850</v>
      </c>
      <c r="AB308" s="12">
        <v>109850</v>
      </c>
      <c r="AC308" s="12">
        <v>109770</v>
      </c>
      <c r="AD308" s="12">
        <v>109800</v>
      </c>
      <c r="AE308" s="11">
        <v>111200</v>
      </c>
      <c r="AF308" s="11">
        <v>111240</v>
      </c>
      <c r="AG308" s="11">
        <v>111180</v>
      </c>
      <c r="AH308" s="11">
        <v>111220</v>
      </c>
    </row>
    <row r="309" spans="19:34" x14ac:dyDescent="0.25">
      <c r="S309" s="12">
        <v>108270</v>
      </c>
      <c r="T309" s="12">
        <v>108280</v>
      </c>
      <c r="U309" s="12">
        <v>108270</v>
      </c>
      <c r="V309" s="12">
        <v>108270</v>
      </c>
      <c r="W309" s="11">
        <v>114760</v>
      </c>
      <c r="X309" s="11">
        <v>114820</v>
      </c>
      <c r="Y309" s="11">
        <v>114760</v>
      </c>
      <c r="Z309" s="11">
        <v>114770</v>
      </c>
      <c r="AA309" s="11">
        <v>109790</v>
      </c>
      <c r="AB309" s="11">
        <v>109810</v>
      </c>
      <c r="AC309" s="11">
        <v>109760</v>
      </c>
      <c r="AD309" s="11">
        <v>109800</v>
      </c>
      <c r="AE309" s="12">
        <v>111220</v>
      </c>
      <c r="AF309" s="12">
        <v>111250</v>
      </c>
      <c r="AG309" s="12">
        <v>111190</v>
      </c>
      <c r="AH309" s="12">
        <v>111210</v>
      </c>
    </row>
    <row r="310" spans="19:34" x14ac:dyDescent="0.25">
      <c r="S310" s="11">
        <v>108250</v>
      </c>
      <c r="T310" s="11">
        <v>108260</v>
      </c>
      <c r="U310" s="11">
        <v>108210</v>
      </c>
      <c r="V310" s="11">
        <v>108210</v>
      </c>
      <c r="W310" s="12">
        <v>114780</v>
      </c>
      <c r="X310" s="12">
        <v>114890</v>
      </c>
      <c r="Y310" s="12">
        <v>114760</v>
      </c>
      <c r="Z310" s="12">
        <v>114820</v>
      </c>
      <c r="AA310" s="12">
        <v>109780</v>
      </c>
      <c r="AB310" s="12">
        <v>109790</v>
      </c>
      <c r="AC310" s="12">
        <v>109760</v>
      </c>
      <c r="AD310" s="12">
        <v>109780</v>
      </c>
      <c r="AE310" s="11">
        <v>111200</v>
      </c>
      <c r="AF310" s="11">
        <v>111220</v>
      </c>
      <c r="AG310" s="11">
        <v>111160</v>
      </c>
      <c r="AH310" s="11">
        <v>111180</v>
      </c>
    </row>
    <row r="311" spans="19:34" x14ac:dyDescent="0.25">
      <c r="S311" s="12">
        <v>108220</v>
      </c>
      <c r="T311" s="12">
        <v>108280</v>
      </c>
      <c r="U311" s="12">
        <v>108220</v>
      </c>
      <c r="V311" s="12">
        <v>108280</v>
      </c>
      <c r="W311" s="11">
        <v>114810</v>
      </c>
      <c r="X311" s="11">
        <v>114840</v>
      </c>
      <c r="Y311" s="11">
        <v>114810</v>
      </c>
      <c r="Z311" s="11">
        <v>114840</v>
      </c>
      <c r="AA311" s="11">
        <v>109790</v>
      </c>
      <c r="AB311" s="11">
        <v>109810</v>
      </c>
      <c r="AC311" s="11">
        <v>109780</v>
      </c>
      <c r="AD311" s="11">
        <v>109800</v>
      </c>
      <c r="AE311" s="12">
        <v>111180</v>
      </c>
      <c r="AF311" s="12">
        <v>111220</v>
      </c>
      <c r="AG311" s="12">
        <v>111180</v>
      </c>
      <c r="AH311" s="12">
        <v>111210</v>
      </c>
    </row>
    <row r="312" spans="19:34" x14ac:dyDescent="0.25">
      <c r="S312" s="11">
        <v>108310</v>
      </c>
      <c r="T312" s="11">
        <v>108310</v>
      </c>
      <c r="U312" s="11">
        <v>108310</v>
      </c>
      <c r="V312" s="11">
        <v>108310</v>
      </c>
      <c r="W312" s="12">
        <v>114830</v>
      </c>
      <c r="X312" s="12">
        <v>114850</v>
      </c>
      <c r="Y312" s="12">
        <v>114810</v>
      </c>
      <c r="Z312" s="12">
        <v>114830</v>
      </c>
      <c r="AA312" s="12">
        <v>109800</v>
      </c>
      <c r="AB312" s="12">
        <v>109880</v>
      </c>
      <c r="AC312" s="12">
        <v>109800</v>
      </c>
      <c r="AD312" s="12">
        <v>109840</v>
      </c>
      <c r="AE312" s="11">
        <v>111200</v>
      </c>
      <c r="AF312" s="11">
        <v>111230</v>
      </c>
      <c r="AG312" s="11">
        <v>111190</v>
      </c>
      <c r="AH312" s="11">
        <v>111220</v>
      </c>
    </row>
    <row r="313" spans="19:34" x14ac:dyDescent="0.25">
      <c r="S313" s="12">
        <v>108260</v>
      </c>
      <c r="T313" s="12">
        <v>108260</v>
      </c>
      <c r="U313" s="12">
        <v>108210</v>
      </c>
      <c r="V313" s="12">
        <v>108210</v>
      </c>
      <c r="W313" s="11">
        <v>114840</v>
      </c>
      <c r="X313" s="11">
        <v>114840</v>
      </c>
      <c r="Y313" s="11">
        <v>114800</v>
      </c>
      <c r="Z313" s="11">
        <v>114800</v>
      </c>
      <c r="AA313" s="11">
        <v>109850</v>
      </c>
      <c r="AB313" s="11">
        <v>109880</v>
      </c>
      <c r="AC313" s="11">
        <v>109800</v>
      </c>
      <c r="AD313" s="11">
        <v>109800</v>
      </c>
      <c r="AE313" s="12">
        <v>111230</v>
      </c>
      <c r="AF313" s="12">
        <v>111240</v>
      </c>
      <c r="AG313" s="12">
        <v>111180</v>
      </c>
      <c r="AH313" s="12">
        <v>111200</v>
      </c>
    </row>
    <row r="314" spans="19:34" x14ac:dyDescent="0.25">
      <c r="S314" s="11">
        <v>108220</v>
      </c>
      <c r="T314" s="11">
        <v>108270</v>
      </c>
      <c r="U314" s="11">
        <v>108220</v>
      </c>
      <c r="V314" s="11">
        <v>108270</v>
      </c>
      <c r="W314" s="12">
        <v>114800</v>
      </c>
      <c r="X314" s="12">
        <v>114830</v>
      </c>
      <c r="Y314" s="12">
        <v>114800</v>
      </c>
      <c r="Z314" s="12">
        <v>114810</v>
      </c>
      <c r="AA314" s="12">
        <v>109800</v>
      </c>
      <c r="AB314" s="12">
        <v>109830</v>
      </c>
      <c r="AC314" s="12">
        <v>109760</v>
      </c>
      <c r="AD314" s="12">
        <v>109810</v>
      </c>
      <c r="AE314" s="11">
        <v>111200</v>
      </c>
      <c r="AF314" s="11">
        <v>111230</v>
      </c>
      <c r="AG314" s="11">
        <v>111190</v>
      </c>
      <c r="AH314" s="11">
        <v>111220</v>
      </c>
    </row>
    <row r="315" spans="19:34" x14ac:dyDescent="0.25">
      <c r="S315" s="12">
        <v>108230</v>
      </c>
      <c r="T315" s="12">
        <v>108240</v>
      </c>
      <c r="U315" s="12">
        <v>108230</v>
      </c>
      <c r="V315" s="12">
        <v>108230</v>
      </c>
      <c r="W315" s="11">
        <v>114810</v>
      </c>
      <c r="X315" s="11">
        <v>114840</v>
      </c>
      <c r="Y315" s="11">
        <v>114800</v>
      </c>
      <c r="Z315" s="11">
        <v>114800</v>
      </c>
      <c r="AA315" s="11">
        <v>109800</v>
      </c>
      <c r="AB315" s="11">
        <v>109800</v>
      </c>
      <c r="AC315" s="11">
        <v>109730</v>
      </c>
      <c r="AD315" s="11">
        <v>109750</v>
      </c>
      <c r="AE315" s="12">
        <v>111230</v>
      </c>
      <c r="AF315" s="12">
        <v>111250</v>
      </c>
      <c r="AG315" s="12">
        <v>111200</v>
      </c>
      <c r="AH315" s="12">
        <v>111230</v>
      </c>
    </row>
    <row r="316" spans="19:34" x14ac:dyDescent="0.25">
      <c r="S316" s="11">
        <v>108230</v>
      </c>
      <c r="T316" s="11">
        <v>108230</v>
      </c>
      <c r="U316" s="11">
        <v>108230</v>
      </c>
      <c r="V316" s="11">
        <v>108230</v>
      </c>
      <c r="W316" s="12">
        <v>114810</v>
      </c>
      <c r="X316" s="12">
        <v>114810</v>
      </c>
      <c r="Y316" s="12">
        <v>114760</v>
      </c>
      <c r="Z316" s="12">
        <v>114760</v>
      </c>
      <c r="AA316" s="12">
        <v>109760</v>
      </c>
      <c r="AB316" s="12">
        <v>109820</v>
      </c>
      <c r="AC316" s="12">
        <v>109760</v>
      </c>
      <c r="AD316" s="12">
        <v>109820</v>
      </c>
      <c r="AE316" s="11">
        <v>111230</v>
      </c>
      <c r="AF316" s="11">
        <v>111270</v>
      </c>
      <c r="AG316" s="11">
        <v>111230</v>
      </c>
      <c r="AH316" s="11">
        <v>111250</v>
      </c>
    </row>
    <row r="317" spans="19:34" x14ac:dyDescent="0.25">
      <c r="S317" s="12">
        <v>108220</v>
      </c>
      <c r="T317" s="12">
        <v>108250</v>
      </c>
      <c r="U317" s="12">
        <v>108220</v>
      </c>
      <c r="V317" s="12">
        <v>108250</v>
      </c>
      <c r="W317" s="11">
        <v>114760</v>
      </c>
      <c r="X317" s="11">
        <v>114810</v>
      </c>
      <c r="Y317" s="11">
        <v>114760</v>
      </c>
      <c r="Z317" s="11">
        <v>114800</v>
      </c>
      <c r="AA317" s="11">
        <v>109810</v>
      </c>
      <c r="AB317" s="11">
        <v>109940</v>
      </c>
      <c r="AC317" s="11">
        <v>109800</v>
      </c>
      <c r="AD317" s="11">
        <v>109890</v>
      </c>
      <c r="AE317" s="12">
        <v>111250</v>
      </c>
      <c r="AF317" s="12">
        <v>111260</v>
      </c>
      <c r="AG317" s="12">
        <v>111180</v>
      </c>
      <c r="AH317" s="12">
        <v>111200</v>
      </c>
    </row>
    <row r="318" spans="19:34" x14ac:dyDescent="0.25">
      <c r="S318" s="11">
        <v>108240</v>
      </c>
      <c r="T318" s="11">
        <v>108240</v>
      </c>
      <c r="U318" s="11">
        <v>108240</v>
      </c>
      <c r="V318" s="11">
        <v>108240</v>
      </c>
      <c r="W318" s="12">
        <v>114800</v>
      </c>
      <c r="X318" s="12">
        <v>114820</v>
      </c>
      <c r="Y318" s="12">
        <v>114780</v>
      </c>
      <c r="Z318" s="12">
        <v>114820</v>
      </c>
      <c r="AA318" s="12">
        <v>109890</v>
      </c>
      <c r="AB318" s="12">
        <v>110050</v>
      </c>
      <c r="AC318" s="12">
        <v>109890</v>
      </c>
      <c r="AD318" s="12">
        <v>110020</v>
      </c>
      <c r="AE318" s="11">
        <v>111200</v>
      </c>
      <c r="AF318" s="11">
        <v>111200</v>
      </c>
      <c r="AG318" s="11">
        <v>111130</v>
      </c>
      <c r="AH318" s="11">
        <v>111190</v>
      </c>
    </row>
    <row r="319" spans="19:34" x14ac:dyDescent="0.25">
      <c r="S319" s="12">
        <v>108220</v>
      </c>
      <c r="T319" s="12">
        <v>108220</v>
      </c>
      <c r="U319" s="12">
        <v>108220</v>
      </c>
      <c r="V319" s="12">
        <v>108220</v>
      </c>
      <c r="W319" s="11">
        <v>114820</v>
      </c>
      <c r="X319" s="11">
        <v>114840</v>
      </c>
      <c r="Y319" s="11">
        <v>114800</v>
      </c>
      <c r="Z319" s="11">
        <v>114830</v>
      </c>
      <c r="AA319" s="11">
        <v>110020</v>
      </c>
      <c r="AB319" s="11">
        <v>110080</v>
      </c>
      <c r="AC319" s="11">
        <v>110010</v>
      </c>
      <c r="AD319" s="11">
        <v>110020</v>
      </c>
      <c r="AE319" s="12">
        <v>111190</v>
      </c>
      <c r="AF319" s="12">
        <v>111190</v>
      </c>
      <c r="AG319" s="12">
        <v>111120</v>
      </c>
      <c r="AH319" s="12">
        <v>111160</v>
      </c>
    </row>
    <row r="320" spans="19:34" x14ac:dyDescent="0.25">
      <c r="S320" s="11">
        <v>108170</v>
      </c>
      <c r="T320" s="11">
        <v>108170</v>
      </c>
      <c r="U320" s="11">
        <v>108170</v>
      </c>
      <c r="V320" s="11">
        <v>108170</v>
      </c>
      <c r="W320" s="12">
        <v>114830</v>
      </c>
      <c r="X320" s="12">
        <v>114850</v>
      </c>
      <c r="Y320" s="12">
        <v>114790</v>
      </c>
      <c r="Z320" s="12">
        <v>114790</v>
      </c>
      <c r="AA320" s="12">
        <v>110020</v>
      </c>
      <c r="AB320" s="12">
        <v>110060</v>
      </c>
      <c r="AC320" s="12">
        <v>110000</v>
      </c>
      <c r="AD320" s="12">
        <v>110050</v>
      </c>
      <c r="AE320" s="11">
        <v>111150</v>
      </c>
      <c r="AF320" s="11">
        <v>111220</v>
      </c>
      <c r="AG320" s="11">
        <v>111150</v>
      </c>
      <c r="AH320" s="11">
        <v>111220</v>
      </c>
    </row>
    <row r="321" spans="19:34" x14ac:dyDescent="0.25">
      <c r="S321" s="12">
        <v>108180</v>
      </c>
      <c r="T321" s="12">
        <v>108180</v>
      </c>
      <c r="U321" s="12">
        <v>108180</v>
      </c>
      <c r="V321" s="12">
        <v>108180</v>
      </c>
      <c r="W321" s="11">
        <v>114790</v>
      </c>
      <c r="X321" s="11">
        <v>114810</v>
      </c>
      <c r="Y321" s="11">
        <v>114770</v>
      </c>
      <c r="Z321" s="11">
        <v>114780</v>
      </c>
      <c r="AA321" s="11">
        <v>110050</v>
      </c>
      <c r="AB321" s="11">
        <v>110140</v>
      </c>
      <c r="AC321" s="11">
        <v>110040</v>
      </c>
      <c r="AD321" s="11">
        <v>110070</v>
      </c>
      <c r="AE321" s="12">
        <v>111210</v>
      </c>
      <c r="AF321" s="12">
        <v>111210</v>
      </c>
      <c r="AG321" s="12">
        <v>111170</v>
      </c>
      <c r="AH321" s="12">
        <v>111190</v>
      </c>
    </row>
    <row r="322" spans="19:34" x14ac:dyDescent="0.25">
      <c r="S322" s="11">
        <v>108140</v>
      </c>
      <c r="T322" s="11">
        <v>108140</v>
      </c>
      <c r="U322" s="11">
        <v>108140</v>
      </c>
      <c r="V322" s="11">
        <v>108140</v>
      </c>
      <c r="W322" s="12">
        <v>114770</v>
      </c>
      <c r="X322" s="12">
        <v>114840</v>
      </c>
      <c r="Y322" s="12">
        <v>114760</v>
      </c>
      <c r="Z322" s="12">
        <v>114840</v>
      </c>
      <c r="AA322" s="12">
        <v>110070</v>
      </c>
      <c r="AB322" s="12">
        <v>110080</v>
      </c>
      <c r="AC322" s="12">
        <v>109960</v>
      </c>
      <c r="AD322" s="12">
        <v>109990</v>
      </c>
      <c r="AE322" s="11">
        <v>111180</v>
      </c>
      <c r="AF322" s="11">
        <v>111210</v>
      </c>
      <c r="AG322" s="11">
        <v>111150</v>
      </c>
      <c r="AH322" s="11">
        <v>111170</v>
      </c>
    </row>
    <row r="323" spans="19:34" x14ac:dyDescent="0.25">
      <c r="S323" s="12">
        <v>108150</v>
      </c>
      <c r="T323" s="12">
        <v>108150</v>
      </c>
      <c r="U323" s="12">
        <v>108150</v>
      </c>
      <c r="V323" s="12">
        <v>108150</v>
      </c>
      <c r="W323" s="11">
        <v>114830</v>
      </c>
      <c r="X323" s="11">
        <v>114840</v>
      </c>
      <c r="Y323" s="11">
        <v>114780</v>
      </c>
      <c r="Z323" s="11">
        <v>114780</v>
      </c>
      <c r="AA323" s="11">
        <v>109990</v>
      </c>
      <c r="AB323" s="11">
        <v>110060</v>
      </c>
      <c r="AC323" s="11">
        <v>109990</v>
      </c>
      <c r="AD323" s="11">
        <v>110020</v>
      </c>
      <c r="AE323" s="12">
        <v>111180</v>
      </c>
      <c r="AF323" s="12">
        <v>111230</v>
      </c>
      <c r="AG323" s="12">
        <v>111180</v>
      </c>
      <c r="AH323" s="12">
        <v>111210</v>
      </c>
    </row>
    <row r="324" spans="19:34" x14ac:dyDescent="0.25">
      <c r="S324" s="11">
        <v>108180</v>
      </c>
      <c r="T324" s="11">
        <v>108180</v>
      </c>
      <c r="U324" s="11">
        <v>108180</v>
      </c>
      <c r="V324" s="11">
        <v>108180</v>
      </c>
      <c r="W324" s="12">
        <v>114790</v>
      </c>
      <c r="X324" s="12">
        <v>114830</v>
      </c>
      <c r="Y324" s="12">
        <v>114730</v>
      </c>
      <c r="Z324" s="12">
        <v>114810</v>
      </c>
      <c r="AA324" s="12">
        <v>110030</v>
      </c>
      <c r="AB324" s="12">
        <v>110040</v>
      </c>
      <c r="AC324" s="12">
        <v>109990</v>
      </c>
      <c r="AD324" s="12">
        <v>110000</v>
      </c>
      <c r="AE324" s="11">
        <v>111210</v>
      </c>
      <c r="AF324" s="11">
        <v>111250</v>
      </c>
      <c r="AG324" s="11">
        <v>111200</v>
      </c>
      <c r="AH324" s="11">
        <v>111250</v>
      </c>
    </row>
    <row r="325" spans="19:34" x14ac:dyDescent="0.25">
      <c r="S325" s="12">
        <v>108180</v>
      </c>
      <c r="T325" s="12">
        <v>108180</v>
      </c>
      <c r="U325" s="12">
        <v>108180</v>
      </c>
      <c r="V325" s="12">
        <v>108180</v>
      </c>
      <c r="W325" s="11">
        <v>114810</v>
      </c>
      <c r="X325" s="11">
        <v>114820</v>
      </c>
      <c r="Y325" s="11">
        <v>114760</v>
      </c>
      <c r="Z325" s="11">
        <v>114780</v>
      </c>
      <c r="AA325" s="11">
        <v>109990</v>
      </c>
      <c r="AB325" s="11">
        <v>110060</v>
      </c>
      <c r="AC325" s="11">
        <v>109990</v>
      </c>
      <c r="AD325" s="11">
        <v>109990</v>
      </c>
      <c r="AE325" s="12">
        <v>111250</v>
      </c>
      <c r="AF325" s="12">
        <v>111280</v>
      </c>
      <c r="AG325" s="12">
        <v>111230</v>
      </c>
      <c r="AH325" s="12">
        <v>111250</v>
      </c>
    </row>
    <row r="326" spans="19:34" x14ac:dyDescent="0.25">
      <c r="S326" s="11">
        <v>108190</v>
      </c>
      <c r="T326" s="11">
        <v>108240</v>
      </c>
      <c r="U326" s="11">
        <v>108190</v>
      </c>
      <c r="V326" s="11">
        <v>108230</v>
      </c>
      <c r="W326" s="12">
        <v>114780</v>
      </c>
      <c r="X326" s="12">
        <v>114790</v>
      </c>
      <c r="Y326" s="12">
        <v>114710</v>
      </c>
      <c r="Z326" s="12">
        <v>114780</v>
      </c>
      <c r="AA326" s="12">
        <v>110000</v>
      </c>
      <c r="AB326" s="12">
        <v>110040</v>
      </c>
      <c r="AC326" s="12">
        <v>109980</v>
      </c>
      <c r="AD326" s="12">
        <v>110030</v>
      </c>
      <c r="AE326" s="11">
        <v>111240</v>
      </c>
      <c r="AF326" s="11">
        <v>111250</v>
      </c>
      <c r="AG326" s="11">
        <v>111200</v>
      </c>
      <c r="AH326" s="11">
        <v>111210</v>
      </c>
    </row>
    <row r="327" spans="19:34" x14ac:dyDescent="0.25">
      <c r="S327" s="12">
        <v>108200</v>
      </c>
      <c r="T327" s="12">
        <v>108200</v>
      </c>
      <c r="U327" s="12">
        <v>108180</v>
      </c>
      <c r="V327" s="12">
        <v>108200</v>
      </c>
      <c r="W327" s="11">
        <v>114770</v>
      </c>
      <c r="X327" s="11">
        <v>114940</v>
      </c>
      <c r="Y327" s="11">
        <v>114760</v>
      </c>
      <c r="Z327" s="11">
        <v>114930</v>
      </c>
      <c r="AA327" s="11">
        <v>110040</v>
      </c>
      <c r="AB327" s="11">
        <v>110050</v>
      </c>
      <c r="AC327" s="11">
        <v>109990</v>
      </c>
      <c r="AD327" s="11">
        <v>109990</v>
      </c>
      <c r="AE327" s="12">
        <v>111220</v>
      </c>
      <c r="AF327" s="12">
        <v>111250</v>
      </c>
      <c r="AG327" s="12">
        <v>111190</v>
      </c>
      <c r="AH327" s="12">
        <v>111220</v>
      </c>
    </row>
    <row r="328" spans="19:34" x14ac:dyDescent="0.25">
      <c r="S328" s="11">
        <v>108220</v>
      </c>
      <c r="T328" s="11">
        <v>108240</v>
      </c>
      <c r="U328" s="11">
        <v>108220</v>
      </c>
      <c r="V328" s="11">
        <v>108240</v>
      </c>
      <c r="W328" s="12">
        <v>114910</v>
      </c>
      <c r="X328" s="12">
        <v>114930</v>
      </c>
      <c r="Y328" s="12">
        <v>114860</v>
      </c>
      <c r="Z328" s="12">
        <v>114870</v>
      </c>
      <c r="AA328" s="12">
        <v>109990</v>
      </c>
      <c r="AB328" s="12">
        <v>110080</v>
      </c>
      <c r="AC328" s="12">
        <v>109980</v>
      </c>
      <c r="AD328" s="12">
        <v>110060</v>
      </c>
      <c r="AE328" s="11">
        <v>111220</v>
      </c>
      <c r="AF328" s="11">
        <v>111260</v>
      </c>
      <c r="AG328" s="11">
        <v>111210</v>
      </c>
      <c r="AH328" s="11">
        <v>111210</v>
      </c>
    </row>
    <row r="329" spans="19:34" x14ac:dyDescent="0.25">
      <c r="S329" s="12">
        <v>108210</v>
      </c>
      <c r="T329" s="12">
        <v>108300</v>
      </c>
      <c r="U329" s="12">
        <v>108210</v>
      </c>
      <c r="V329" s="12">
        <v>108270</v>
      </c>
      <c r="W329" s="11">
        <v>114870</v>
      </c>
      <c r="X329" s="11">
        <v>114880</v>
      </c>
      <c r="Y329" s="11">
        <v>114840</v>
      </c>
      <c r="Z329" s="11">
        <v>114860</v>
      </c>
      <c r="AA329" s="11">
        <v>110060</v>
      </c>
      <c r="AB329" s="11">
        <v>110190</v>
      </c>
      <c r="AC329" s="11">
        <v>110060</v>
      </c>
      <c r="AD329" s="11">
        <v>110130</v>
      </c>
      <c r="AE329" s="12">
        <v>111230</v>
      </c>
      <c r="AF329" s="12">
        <v>111280</v>
      </c>
      <c r="AG329" s="12">
        <v>111230</v>
      </c>
      <c r="AH329" s="12">
        <v>111280</v>
      </c>
    </row>
    <row r="330" spans="19:34" x14ac:dyDescent="0.25">
      <c r="S330" s="11">
        <v>108250</v>
      </c>
      <c r="T330" s="11">
        <v>108250</v>
      </c>
      <c r="U330" s="11">
        <v>108210</v>
      </c>
      <c r="V330" s="11">
        <v>108210</v>
      </c>
      <c r="W330" s="12">
        <v>114870</v>
      </c>
      <c r="X330" s="12">
        <v>114900</v>
      </c>
      <c r="Y330" s="12">
        <v>114840</v>
      </c>
      <c r="Z330" s="12">
        <v>114880</v>
      </c>
      <c r="AA330" s="12">
        <v>110120</v>
      </c>
      <c r="AB330" s="12">
        <v>110150</v>
      </c>
      <c r="AC330" s="12">
        <v>110120</v>
      </c>
      <c r="AD330" s="12">
        <v>110130</v>
      </c>
      <c r="AE330" s="11">
        <v>111270</v>
      </c>
      <c r="AF330" s="11">
        <v>111310</v>
      </c>
      <c r="AG330" s="11">
        <v>111260</v>
      </c>
      <c r="AH330" s="11">
        <v>111300</v>
      </c>
    </row>
    <row r="331" spans="19:34" x14ac:dyDescent="0.25">
      <c r="S331" s="12">
        <v>108240</v>
      </c>
      <c r="T331" s="12">
        <v>108240</v>
      </c>
      <c r="U331" s="12">
        <v>108180</v>
      </c>
      <c r="V331" s="12">
        <v>108210</v>
      </c>
      <c r="W331" s="11">
        <v>114890</v>
      </c>
      <c r="X331" s="11">
        <v>114890</v>
      </c>
      <c r="Y331" s="11">
        <v>114820</v>
      </c>
      <c r="Z331" s="11">
        <v>114860</v>
      </c>
      <c r="AA331" s="11">
        <v>110150</v>
      </c>
      <c r="AB331" s="11">
        <v>110170</v>
      </c>
      <c r="AC331" s="11">
        <v>110130</v>
      </c>
      <c r="AD331" s="11">
        <v>110160</v>
      </c>
      <c r="AE331" s="12">
        <v>111300</v>
      </c>
      <c r="AF331" s="12">
        <v>111330</v>
      </c>
      <c r="AG331" s="12">
        <v>111270</v>
      </c>
      <c r="AH331" s="12">
        <v>111330</v>
      </c>
    </row>
    <row r="332" spans="19:34" x14ac:dyDescent="0.25">
      <c r="S332" s="11">
        <v>108180</v>
      </c>
      <c r="T332" s="11">
        <v>108180</v>
      </c>
      <c r="U332" s="11">
        <v>108100</v>
      </c>
      <c r="V332" s="11">
        <v>108150</v>
      </c>
      <c r="W332" s="12">
        <v>114870</v>
      </c>
      <c r="X332" s="12">
        <v>114910</v>
      </c>
      <c r="Y332" s="12">
        <v>114860</v>
      </c>
      <c r="Z332" s="12">
        <v>114880</v>
      </c>
      <c r="AA332" s="12">
        <v>110160</v>
      </c>
      <c r="AB332" s="12">
        <v>110270</v>
      </c>
      <c r="AC332" s="12">
        <v>110160</v>
      </c>
      <c r="AD332" s="12">
        <v>110250</v>
      </c>
      <c r="AE332" s="11">
        <v>111330</v>
      </c>
      <c r="AF332" s="11">
        <v>111360</v>
      </c>
      <c r="AG332" s="11">
        <v>111300</v>
      </c>
      <c r="AH332" s="11">
        <v>111350</v>
      </c>
    </row>
    <row r="333" spans="19:34" x14ac:dyDescent="0.25">
      <c r="S333" s="12">
        <v>108150</v>
      </c>
      <c r="T333" s="12">
        <v>108180</v>
      </c>
      <c r="U333" s="12">
        <v>108150</v>
      </c>
      <c r="V333" s="12">
        <v>108180</v>
      </c>
      <c r="W333" s="11">
        <v>114880</v>
      </c>
      <c r="X333" s="11">
        <v>114900</v>
      </c>
      <c r="Y333" s="11">
        <v>114810</v>
      </c>
      <c r="Z333" s="11">
        <v>114820</v>
      </c>
      <c r="AA333" s="11">
        <v>110260</v>
      </c>
      <c r="AB333" s="11">
        <v>110380</v>
      </c>
      <c r="AC333" s="11">
        <v>110240</v>
      </c>
      <c r="AD333" s="11">
        <v>110370</v>
      </c>
      <c r="AE333" s="12">
        <v>111350</v>
      </c>
      <c r="AF333" s="12">
        <v>111400</v>
      </c>
      <c r="AG333" s="12">
        <v>111340</v>
      </c>
      <c r="AH333" s="12">
        <v>111340</v>
      </c>
    </row>
    <row r="334" spans="19:34" x14ac:dyDescent="0.25">
      <c r="S334" s="11">
        <v>108210</v>
      </c>
      <c r="T334" s="11">
        <v>108250</v>
      </c>
      <c r="U334" s="11">
        <v>108210</v>
      </c>
      <c r="V334" s="11">
        <v>108240</v>
      </c>
      <c r="W334" s="12">
        <v>114820</v>
      </c>
      <c r="X334" s="12">
        <v>114910</v>
      </c>
      <c r="Y334" s="12">
        <v>114820</v>
      </c>
      <c r="Z334" s="12">
        <v>114900</v>
      </c>
      <c r="AA334" s="12">
        <v>110380</v>
      </c>
      <c r="AB334" s="12">
        <v>110400</v>
      </c>
      <c r="AC334" s="12">
        <v>110320</v>
      </c>
      <c r="AD334" s="12">
        <v>110330</v>
      </c>
      <c r="AE334" s="11">
        <v>111340</v>
      </c>
      <c r="AF334" s="11">
        <v>111350</v>
      </c>
      <c r="AG334" s="11">
        <v>111310</v>
      </c>
      <c r="AH334" s="11">
        <v>111330</v>
      </c>
    </row>
    <row r="335" spans="19:34" x14ac:dyDescent="0.25">
      <c r="S335" s="12">
        <v>108250</v>
      </c>
      <c r="T335" s="12">
        <v>108290</v>
      </c>
      <c r="U335" s="12">
        <v>108230</v>
      </c>
      <c r="V335" s="12">
        <v>108230</v>
      </c>
      <c r="W335" s="11">
        <v>114900</v>
      </c>
      <c r="X335" s="11">
        <v>114910</v>
      </c>
      <c r="Y335" s="11">
        <v>114870</v>
      </c>
      <c r="Z335" s="11">
        <v>114870</v>
      </c>
      <c r="AA335" s="11">
        <v>110340</v>
      </c>
      <c r="AB335" s="11">
        <v>110370</v>
      </c>
      <c r="AC335" s="11">
        <v>110300</v>
      </c>
      <c r="AD335" s="11">
        <v>110370</v>
      </c>
      <c r="AE335" s="12">
        <v>111330</v>
      </c>
      <c r="AF335" s="12">
        <v>111330</v>
      </c>
      <c r="AG335" s="12">
        <v>111240</v>
      </c>
      <c r="AH335" s="12">
        <v>111300</v>
      </c>
    </row>
    <row r="336" spans="19:34" x14ac:dyDescent="0.25">
      <c r="S336" s="11">
        <v>108250</v>
      </c>
      <c r="T336" s="11">
        <v>108250</v>
      </c>
      <c r="U336" s="11">
        <v>108240</v>
      </c>
      <c r="V336" s="11">
        <v>108240</v>
      </c>
      <c r="W336" s="12">
        <v>114870</v>
      </c>
      <c r="X336" s="12">
        <v>114890</v>
      </c>
      <c r="Y336" s="12">
        <v>114830</v>
      </c>
      <c r="Z336" s="12">
        <v>114860</v>
      </c>
      <c r="AA336" s="12">
        <v>110350</v>
      </c>
      <c r="AB336" s="12">
        <v>110380</v>
      </c>
      <c r="AC336" s="12">
        <v>110320</v>
      </c>
      <c r="AD336" s="12">
        <v>110330</v>
      </c>
      <c r="AE336" s="11">
        <v>111300</v>
      </c>
      <c r="AF336" s="11">
        <v>111380</v>
      </c>
      <c r="AG336" s="11">
        <v>111290</v>
      </c>
      <c r="AH336" s="11">
        <v>111340</v>
      </c>
    </row>
    <row r="337" spans="19:34" x14ac:dyDescent="0.25">
      <c r="S337" s="12">
        <v>108240</v>
      </c>
      <c r="T337" s="12">
        <v>108240</v>
      </c>
      <c r="U337" s="12">
        <v>108240</v>
      </c>
      <c r="V337" s="12">
        <v>108240</v>
      </c>
      <c r="W337" s="11">
        <v>114860</v>
      </c>
      <c r="X337" s="11">
        <v>114860</v>
      </c>
      <c r="Y337" s="11">
        <v>114790</v>
      </c>
      <c r="Z337" s="11">
        <v>114810</v>
      </c>
      <c r="AA337" s="11">
        <v>110330</v>
      </c>
      <c r="AB337" s="11">
        <v>110350</v>
      </c>
      <c r="AC337" s="11">
        <v>110280</v>
      </c>
      <c r="AD337" s="11">
        <v>110320</v>
      </c>
      <c r="AE337" s="12">
        <v>111350</v>
      </c>
      <c r="AF337" s="12">
        <v>111380</v>
      </c>
      <c r="AG337" s="12">
        <v>111320</v>
      </c>
      <c r="AH337" s="12">
        <v>111340</v>
      </c>
    </row>
    <row r="338" spans="19:34" x14ac:dyDescent="0.25">
      <c r="S338" s="11">
        <v>108260</v>
      </c>
      <c r="T338" s="11">
        <v>108260</v>
      </c>
      <c r="U338" s="11">
        <v>108210</v>
      </c>
      <c r="V338" s="11">
        <v>108210</v>
      </c>
      <c r="W338" s="12">
        <v>114810</v>
      </c>
      <c r="X338" s="12">
        <v>114840</v>
      </c>
      <c r="Y338" s="12">
        <v>114790</v>
      </c>
      <c r="Z338" s="12">
        <v>114790</v>
      </c>
      <c r="AA338" s="12">
        <v>110320</v>
      </c>
      <c r="AB338" s="12">
        <v>110330</v>
      </c>
      <c r="AC338" s="12">
        <v>110260</v>
      </c>
      <c r="AD338" s="12">
        <v>110260</v>
      </c>
      <c r="AE338" s="11">
        <v>111350</v>
      </c>
      <c r="AF338" s="11">
        <v>111370</v>
      </c>
      <c r="AG338" s="11">
        <v>111320</v>
      </c>
      <c r="AH338" s="11">
        <v>111320</v>
      </c>
    </row>
    <row r="339" spans="19:34" x14ac:dyDescent="0.25">
      <c r="S339" s="12">
        <v>108230</v>
      </c>
      <c r="T339" s="12">
        <v>108360</v>
      </c>
      <c r="U339" s="12">
        <v>108230</v>
      </c>
      <c r="V339" s="12">
        <v>108340</v>
      </c>
      <c r="W339" s="11">
        <v>114790</v>
      </c>
      <c r="X339" s="11">
        <v>114800</v>
      </c>
      <c r="Y339" s="11">
        <v>114720</v>
      </c>
      <c r="Z339" s="11">
        <v>114720</v>
      </c>
      <c r="AA339" s="11">
        <v>110270</v>
      </c>
      <c r="AB339" s="11">
        <v>110300</v>
      </c>
      <c r="AC339" s="11">
        <v>110260</v>
      </c>
      <c r="AD339" s="11">
        <v>110270</v>
      </c>
      <c r="AE339" s="12">
        <v>111330</v>
      </c>
      <c r="AF339" s="12">
        <v>111350</v>
      </c>
      <c r="AG339" s="12">
        <v>111300</v>
      </c>
      <c r="AH339" s="12">
        <v>111320</v>
      </c>
    </row>
    <row r="340" spans="19:34" x14ac:dyDescent="0.25">
      <c r="S340" s="11">
        <v>108370</v>
      </c>
      <c r="T340" s="11">
        <v>108370</v>
      </c>
      <c r="U340" s="11">
        <v>108280</v>
      </c>
      <c r="V340" s="11">
        <v>108340</v>
      </c>
      <c r="W340" s="12">
        <v>114730</v>
      </c>
      <c r="X340" s="12">
        <v>114770</v>
      </c>
      <c r="Y340" s="12">
        <v>114710</v>
      </c>
      <c r="Z340" s="12">
        <v>114760</v>
      </c>
      <c r="AA340" s="12">
        <v>110260</v>
      </c>
      <c r="AB340" s="12">
        <v>110290</v>
      </c>
      <c r="AC340" s="12">
        <v>110260</v>
      </c>
      <c r="AD340" s="12">
        <v>110270</v>
      </c>
      <c r="AE340" s="11">
        <v>111320</v>
      </c>
      <c r="AF340" s="11">
        <v>111360</v>
      </c>
      <c r="AG340" s="11">
        <v>111300</v>
      </c>
      <c r="AH340" s="11">
        <v>111350</v>
      </c>
    </row>
    <row r="341" spans="19:34" x14ac:dyDescent="0.25">
      <c r="S341" s="12">
        <v>108340</v>
      </c>
      <c r="T341" s="12">
        <v>108340</v>
      </c>
      <c r="U341" s="12">
        <v>108320</v>
      </c>
      <c r="V341" s="12">
        <v>108320</v>
      </c>
      <c r="W341" s="11">
        <v>114760</v>
      </c>
      <c r="X341" s="11">
        <v>114780</v>
      </c>
      <c r="Y341" s="11">
        <v>114740</v>
      </c>
      <c r="Z341" s="11">
        <v>114740</v>
      </c>
      <c r="AA341" s="11">
        <v>110280</v>
      </c>
      <c r="AB341" s="11">
        <v>110290</v>
      </c>
      <c r="AC341" s="11">
        <v>110260</v>
      </c>
      <c r="AD341" s="11">
        <v>110280</v>
      </c>
      <c r="AE341" s="12">
        <v>111360</v>
      </c>
      <c r="AF341" s="12">
        <v>111360</v>
      </c>
      <c r="AG341" s="12">
        <v>111300</v>
      </c>
      <c r="AH341" s="12">
        <v>111310</v>
      </c>
    </row>
    <row r="342" spans="19:34" x14ac:dyDescent="0.25">
      <c r="S342" s="11">
        <v>108260</v>
      </c>
      <c r="T342" s="11">
        <v>108290</v>
      </c>
      <c r="U342" s="11">
        <v>108260</v>
      </c>
      <c r="V342" s="11">
        <v>108290</v>
      </c>
      <c r="W342" s="12">
        <v>114740</v>
      </c>
      <c r="X342" s="12">
        <v>114760</v>
      </c>
      <c r="Y342" s="12">
        <v>114640</v>
      </c>
      <c r="Z342" s="12">
        <v>114650</v>
      </c>
      <c r="AA342" s="12">
        <v>110280</v>
      </c>
      <c r="AB342" s="12">
        <v>110310</v>
      </c>
      <c r="AC342" s="12">
        <v>110240</v>
      </c>
      <c r="AD342" s="12">
        <v>110240</v>
      </c>
      <c r="AE342" s="11">
        <v>111310</v>
      </c>
      <c r="AF342" s="11">
        <v>111320</v>
      </c>
      <c r="AG342" s="11">
        <v>111240</v>
      </c>
      <c r="AH342" s="11">
        <v>111250</v>
      </c>
    </row>
    <row r="343" spans="19:34" x14ac:dyDescent="0.25">
      <c r="S343" s="12">
        <v>108310</v>
      </c>
      <c r="T343" s="12">
        <v>108360</v>
      </c>
      <c r="U343" s="12">
        <v>108310</v>
      </c>
      <c r="V343" s="12">
        <v>108350</v>
      </c>
      <c r="W343" s="11">
        <v>114640</v>
      </c>
      <c r="X343" s="11">
        <v>114710</v>
      </c>
      <c r="Y343" s="11">
        <v>114610</v>
      </c>
      <c r="Z343" s="11">
        <v>114700</v>
      </c>
      <c r="AA343" s="11">
        <v>110260</v>
      </c>
      <c r="AB343" s="11">
        <v>110280</v>
      </c>
      <c r="AC343" s="11">
        <v>110250</v>
      </c>
      <c r="AD343" s="11">
        <v>110280</v>
      </c>
      <c r="AE343" s="12">
        <v>111240</v>
      </c>
      <c r="AF343" s="12">
        <v>111270</v>
      </c>
      <c r="AG343" s="12">
        <v>111210</v>
      </c>
      <c r="AH343" s="12">
        <v>111210</v>
      </c>
    </row>
    <row r="344" spans="19:34" x14ac:dyDescent="0.25">
      <c r="S344" s="11">
        <v>108320</v>
      </c>
      <c r="T344" s="11">
        <v>108320</v>
      </c>
      <c r="U344" s="11">
        <v>108260</v>
      </c>
      <c r="V344" s="11">
        <v>108280</v>
      </c>
      <c r="W344" s="12">
        <v>114700</v>
      </c>
      <c r="X344" s="12">
        <v>114740</v>
      </c>
      <c r="Y344" s="12">
        <v>114680</v>
      </c>
      <c r="Z344" s="12">
        <v>114740</v>
      </c>
      <c r="AA344" s="12">
        <v>110260</v>
      </c>
      <c r="AB344" s="12">
        <v>110320</v>
      </c>
      <c r="AC344" s="12">
        <v>110250</v>
      </c>
      <c r="AD344" s="12">
        <v>110290</v>
      </c>
      <c r="AE344" s="11">
        <v>111230</v>
      </c>
      <c r="AF344" s="11">
        <v>111250</v>
      </c>
      <c r="AG344" s="11">
        <v>111200</v>
      </c>
      <c r="AH344" s="11">
        <v>111230</v>
      </c>
    </row>
    <row r="345" spans="19:34" x14ac:dyDescent="0.25">
      <c r="S345" s="12">
        <v>108240</v>
      </c>
      <c r="T345" s="12">
        <v>108260</v>
      </c>
      <c r="U345" s="12">
        <v>108230</v>
      </c>
      <c r="V345" s="12">
        <v>108230</v>
      </c>
      <c r="W345" s="11">
        <v>114720</v>
      </c>
      <c r="X345" s="11">
        <v>114820</v>
      </c>
      <c r="Y345" s="11">
        <v>114720</v>
      </c>
      <c r="Z345" s="11">
        <v>114800</v>
      </c>
      <c r="AA345" s="11">
        <v>110300</v>
      </c>
      <c r="AB345" s="11">
        <v>110320</v>
      </c>
      <c r="AC345" s="11">
        <v>110270</v>
      </c>
      <c r="AD345" s="11">
        <v>110280</v>
      </c>
      <c r="AE345" s="12">
        <v>111220</v>
      </c>
      <c r="AF345" s="12">
        <v>111220</v>
      </c>
      <c r="AG345" s="12">
        <v>111100</v>
      </c>
      <c r="AH345" s="12">
        <v>111150</v>
      </c>
    </row>
    <row r="346" spans="19:34" x14ac:dyDescent="0.25">
      <c r="S346" s="11">
        <v>108260</v>
      </c>
      <c r="T346" s="11">
        <v>108260</v>
      </c>
      <c r="U346" s="11">
        <v>108260</v>
      </c>
      <c r="V346" s="11">
        <v>108260</v>
      </c>
      <c r="W346" s="12">
        <v>114800</v>
      </c>
      <c r="X346" s="12">
        <v>114830</v>
      </c>
      <c r="Y346" s="12">
        <v>114790</v>
      </c>
      <c r="Z346" s="12">
        <v>114820</v>
      </c>
      <c r="AA346" s="12">
        <v>110280</v>
      </c>
      <c r="AB346" s="12">
        <v>110320</v>
      </c>
      <c r="AC346" s="12">
        <v>110260</v>
      </c>
      <c r="AD346" s="12">
        <v>110290</v>
      </c>
      <c r="AE346" s="11">
        <v>111160</v>
      </c>
      <c r="AF346" s="11">
        <v>111220</v>
      </c>
      <c r="AG346" s="11">
        <v>111140</v>
      </c>
      <c r="AH346" s="11">
        <v>111200</v>
      </c>
    </row>
    <row r="347" spans="19:34" x14ac:dyDescent="0.25">
      <c r="S347" s="12">
        <v>108260</v>
      </c>
      <c r="T347" s="12">
        <v>108290</v>
      </c>
      <c r="U347" s="12">
        <v>108260</v>
      </c>
      <c r="V347" s="12">
        <v>108290</v>
      </c>
      <c r="W347" s="11">
        <v>114820</v>
      </c>
      <c r="X347" s="11">
        <v>114820</v>
      </c>
      <c r="Y347" s="11">
        <v>114730</v>
      </c>
      <c r="Z347" s="11">
        <v>114780</v>
      </c>
      <c r="AA347" s="11">
        <v>110290</v>
      </c>
      <c r="AB347" s="11">
        <v>110310</v>
      </c>
      <c r="AC347" s="11">
        <v>110250</v>
      </c>
      <c r="AD347" s="11">
        <v>110260</v>
      </c>
      <c r="AE347" s="12">
        <v>111190</v>
      </c>
      <c r="AF347" s="12">
        <v>111200</v>
      </c>
      <c r="AG347" s="12">
        <v>111170</v>
      </c>
      <c r="AH347" s="12">
        <v>111200</v>
      </c>
    </row>
    <row r="348" spans="19:34" x14ac:dyDescent="0.25">
      <c r="S348" s="11">
        <v>108340</v>
      </c>
      <c r="T348" s="11">
        <v>108340</v>
      </c>
      <c r="U348" s="11">
        <v>108190</v>
      </c>
      <c r="V348" s="11">
        <v>108190</v>
      </c>
      <c r="W348" s="12">
        <v>114780</v>
      </c>
      <c r="X348" s="12">
        <v>114860</v>
      </c>
      <c r="Y348" s="12">
        <v>114780</v>
      </c>
      <c r="Z348" s="12">
        <v>114810</v>
      </c>
      <c r="AA348" s="12">
        <v>110270</v>
      </c>
      <c r="AB348" s="12">
        <v>110280</v>
      </c>
      <c r="AC348" s="12">
        <v>110210</v>
      </c>
      <c r="AD348" s="12">
        <v>110260</v>
      </c>
      <c r="AE348" s="11">
        <v>111200</v>
      </c>
      <c r="AF348" s="11">
        <v>111220</v>
      </c>
      <c r="AG348" s="11">
        <v>111190</v>
      </c>
      <c r="AH348" s="11">
        <v>111190</v>
      </c>
    </row>
    <row r="349" spans="19:34" x14ac:dyDescent="0.25">
      <c r="S349" s="12">
        <v>108250</v>
      </c>
      <c r="T349" s="12">
        <v>108270</v>
      </c>
      <c r="U349" s="12">
        <v>108040</v>
      </c>
      <c r="V349" s="12">
        <v>108040</v>
      </c>
      <c r="W349" s="11">
        <v>114810</v>
      </c>
      <c r="X349" s="11">
        <v>114850</v>
      </c>
      <c r="Y349" s="11">
        <v>114790</v>
      </c>
      <c r="Z349" s="11">
        <v>114830</v>
      </c>
      <c r="AA349" s="11">
        <v>110260</v>
      </c>
      <c r="AB349" s="11">
        <v>110310</v>
      </c>
      <c r="AC349" s="11">
        <v>110240</v>
      </c>
      <c r="AD349" s="11">
        <v>110240</v>
      </c>
      <c r="AE349" s="12">
        <v>111200</v>
      </c>
      <c r="AF349" s="12">
        <v>111230</v>
      </c>
      <c r="AG349" s="12">
        <v>111170</v>
      </c>
      <c r="AH349" s="12">
        <v>111200</v>
      </c>
    </row>
    <row r="350" spans="19:34" x14ac:dyDescent="0.25">
      <c r="S350" s="11">
        <v>108060</v>
      </c>
      <c r="T350" s="11">
        <v>108120</v>
      </c>
      <c r="U350" s="11">
        <v>108040</v>
      </c>
      <c r="V350" s="11">
        <v>108090</v>
      </c>
      <c r="W350" s="12">
        <v>114830</v>
      </c>
      <c r="X350" s="12">
        <v>115090</v>
      </c>
      <c r="Y350" s="12">
        <v>114810</v>
      </c>
      <c r="Z350" s="12">
        <v>115030</v>
      </c>
      <c r="AA350" s="12">
        <v>110230</v>
      </c>
      <c r="AB350" s="12">
        <v>110300</v>
      </c>
      <c r="AC350" s="12">
        <v>110200</v>
      </c>
      <c r="AD350" s="12">
        <v>110210</v>
      </c>
      <c r="AE350" s="11">
        <v>111190</v>
      </c>
      <c r="AF350" s="11">
        <v>111240</v>
      </c>
      <c r="AG350" s="11">
        <v>111190</v>
      </c>
      <c r="AH350" s="11">
        <v>111240</v>
      </c>
    </row>
    <row r="351" spans="19:34" x14ac:dyDescent="0.25">
      <c r="S351" s="12">
        <v>108130</v>
      </c>
      <c r="T351" s="12">
        <v>108180</v>
      </c>
      <c r="U351" s="12">
        <v>108130</v>
      </c>
      <c r="V351" s="12">
        <v>108170</v>
      </c>
      <c r="W351" s="11">
        <v>115030</v>
      </c>
      <c r="X351" s="11">
        <v>115050</v>
      </c>
      <c r="Y351" s="11">
        <v>114950</v>
      </c>
      <c r="Z351" s="11">
        <v>115000</v>
      </c>
      <c r="AA351" s="11">
        <v>110220</v>
      </c>
      <c r="AB351" s="11">
        <v>110240</v>
      </c>
      <c r="AC351" s="11">
        <v>110130</v>
      </c>
      <c r="AD351" s="11">
        <v>110150</v>
      </c>
      <c r="AE351" s="12">
        <v>111240</v>
      </c>
      <c r="AF351" s="12">
        <v>111250</v>
      </c>
      <c r="AG351" s="12">
        <v>111230</v>
      </c>
      <c r="AH351" s="12">
        <v>111240</v>
      </c>
    </row>
    <row r="352" spans="19:34" x14ac:dyDescent="0.25">
      <c r="S352" s="11">
        <v>108140</v>
      </c>
      <c r="T352" s="11">
        <v>108140</v>
      </c>
      <c r="U352" s="11">
        <v>108050</v>
      </c>
      <c r="V352" s="11">
        <v>108050</v>
      </c>
      <c r="W352" s="12">
        <v>115000</v>
      </c>
      <c r="X352" s="12">
        <v>115000</v>
      </c>
      <c r="Y352" s="12">
        <v>114920</v>
      </c>
      <c r="Z352" s="12">
        <v>114950</v>
      </c>
      <c r="AA352" s="12">
        <v>110150</v>
      </c>
      <c r="AB352" s="12">
        <v>110200</v>
      </c>
      <c r="AC352" s="12">
        <v>110130</v>
      </c>
      <c r="AD352" s="12">
        <v>110170</v>
      </c>
      <c r="AE352" s="11">
        <v>111230</v>
      </c>
      <c r="AF352" s="11">
        <v>111230</v>
      </c>
      <c r="AG352" s="11">
        <v>111160</v>
      </c>
      <c r="AH352" s="11">
        <v>111170</v>
      </c>
    </row>
    <row r="353" spans="19:34" x14ac:dyDescent="0.25">
      <c r="S353" s="12">
        <v>108070</v>
      </c>
      <c r="T353" s="12">
        <v>108070</v>
      </c>
      <c r="U353" s="12">
        <v>108060</v>
      </c>
      <c r="V353" s="12">
        <v>108060</v>
      </c>
      <c r="W353" s="11">
        <v>114950</v>
      </c>
      <c r="X353" s="11">
        <v>114970</v>
      </c>
      <c r="Y353" s="11">
        <v>114930</v>
      </c>
      <c r="Z353" s="11">
        <v>114940</v>
      </c>
      <c r="AA353" s="11">
        <v>110180</v>
      </c>
      <c r="AB353" s="11">
        <v>110180</v>
      </c>
      <c r="AC353" s="11">
        <v>110110</v>
      </c>
      <c r="AD353" s="11">
        <v>110120</v>
      </c>
      <c r="AE353" s="12">
        <v>111180</v>
      </c>
      <c r="AF353" s="12">
        <v>111210</v>
      </c>
      <c r="AG353" s="12">
        <v>111140</v>
      </c>
      <c r="AH353" s="12">
        <v>111190</v>
      </c>
    </row>
    <row r="354" spans="19:34" x14ac:dyDescent="0.25">
      <c r="S354" s="11">
        <v>108060</v>
      </c>
      <c r="T354" s="11">
        <v>108060</v>
      </c>
      <c r="U354" s="11">
        <v>108050</v>
      </c>
      <c r="V354" s="11">
        <v>108050</v>
      </c>
      <c r="W354" s="12">
        <v>114920</v>
      </c>
      <c r="X354" s="12">
        <v>114980</v>
      </c>
      <c r="Y354" s="12">
        <v>114920</v>
      </c>
      <c r="Z354" s="12">
        <v>114980</v>
      </c>
      <c r="AA354" s="12">
        <v>110120</v>
      </c>
      <c r="AB354" s="12">
        <v>110170</v>
      </c>
      <c r="AC354" s="12">
        <v>110120</v>
      </c>
      <c r="AD354" s="12">
        <v>110160</v>
      </c>
      <c r="AE354" s="11">
        <v>111190</v>
      </c>
      <c r="AF354" s="11">
        <v>111230</v>
      </c>
      <c r="AG354" s="11">
        <v>111190</v>
      </c>
      <c r="AH354" s="11">
        <v>111200</v>
      </c>
    </row>
    <row r="355" spans="19:34" x14ac:dyDescent="0.25">
      <c r="S355" s="12">
        <v>108100</v>
      </c>
      <c r="T355" s="12">
        <v>108100</v>
      </c>
      <c r="U355" s="12">
        <v>108080</v>
      </c>
      <c r="V355" s="12">
        <v>108080</v>
      </c>
      <c r="W355" s="11">
        <v>114970</v>
      </c>
      <c r="X355" s="11">
        <v>115000</v>
      </c>
      <c r="Y355" s="11">
        <v>114930</v>
      </c>
      <c r="Z355" s="11">
        <v>114950</v>
      </c>
      <c r="AA355" s="11">
        <v>110150</v>
      </c>
      <c r="AB355" s="11">
        <v>110230</v>
      </c>
      <c r="AC355" s="11">
        <v>110140</v>
      </c>
      <c r="AD355" s="11">
        <v>110200</v>
      </c>
      <c r="AE355" s="12">
        <v>111190</v>
      </c>
      <c r="AF355" s="12">
        <v>111200</v>
      </c>
      <c r="AG355" s="12">
        <v>111150</v>
      </c>
      <c r="AH355" s="12">
        <v>111200</v>
      </c>
    </row>
    <row r="356" spans="19:34" x14ac:dyDescent="0.25">
      <c r="S356" s="11">
        <v>108140</v>
      </c>
      <c r="T356" s="11">
        <v>108150</v>
      </c>
      <c r="U356" s="11">
        <v>108140</v>
      </c>
      <c r="V356" s="11">
        <v>108150</v>
      </c>
      <c r="W356" s="12">
        <v>114940</v>
      </c>
      <c r="X356" s="12">
        <v>114940</v>
      </c>
      <c r="Y356" s="12">
        <v>114870</v>
      </c>
      <c r="Z356" s="12">
        <v>114890</v>
      </c>
      <c r="AA356" s="12">
        <v>110220</v>
      </c>
      <c r="AB356" s="12">
        <v>110260</v>
      </c>
      <c r="AC356" s="12">
        <v>110220</v>
      </c>
      <c r="AD356" s="12">
        <v>110240</v>
      </c>
      <c r="AE356" s="11">
        <v>111190</v>
      </c>
      <c r="AF356" s="11">
        <v>111250</v>
      </c>
      <c r="AG356" s="11">
        <v>111170</v>
      </c>
      <c r="AH356" s="11">
        <v>111230</v>
      </c>
    </row>
    <row r="357" spans="19:34" x14ac:dyDescent="0.25">
      <c r="S357" s="12">
        <v>108180</v>
      </c>
      <c r="T357" s="12">
        <v>108180</v>
      </c>
      <c r="U357" s="12">
        <v>108120</v>
      </c>
      <c r="V357" s="12">
        <v>108120</v>
      </c>
      <c r="W357" s="11">
        <v>114890</v>
      </c>
      <c r="X357" s="11">
        <v>115070</v>
      </c>
      <c r="Y357" s="11">
        <v>114870</v>
      </c>
      <c r="Z357" s="11">
        <v>114960</v>
      </c>
      <c r="AA357" s="11">
        <v>110250</v>
      </c>
      <c r="AB357" s="11">
        <v>110290</v>
      </c>
      <c r="AC357" s="11">
        <v>110220</v>
      </c>
      <c r="AD357" s="11">
        <v>110230</v>
      </c>
      <c r="AE357" s="12">
        <v>111230</v>
      </c>
      <c r="AF357" s="12">
        <v>111230</v>
      </c>
      <c r="AG357" s="12">
        <v>111090</v>
      </c>
      <c r="AH357" s="12">
        <v>111090</v>
      </c>
    </row>
    <row r="358" spans="19:34" x14ac:dyDescent="0.25">
      <c r="S358" s="11">
        <v>108130</v>
      </c>
      <c r="T358" s="11">
        <v>108250</v>
      </c>
      <c r="U358" s="11">
        <v>108130</v>
      </c>
      <c r="V358" s="11">
        <v>108220</v>
      </c>
      <c r="W358" s="12">
        <v>114960</v>
      </c>
      <c r="X358" s="12">
        <v>115010</v>
      </c>
      <c r="Y358" s="12">
        <v>114920</v>
      </c>
      <c r="Z358" s="12">
        <v>114970</v>
      </c>
      <c r="AA358" s="12">
        <v>110240</v>
      </c>
      <c r="AB358" s="12">
        <v>110240</v>
      </c>
      <c r="AC358" s="12">
        <v>110170</v>
      </c>
      <c r="AD358" s="12">
        <v>110230</v>
      </c>
      <c r="AE358" s="11">
        <v>111090</v>
      </c>
      <c r="AF358" s="11">
        <v>111130</v>
      </c>
      <c r="AG358" s="11">
        <v>111060</v>
      </c>
      <c r="AH358" s="11">
        <v>111090</v>
      </c>
    </row>
    <row r="359" spans="19:34" x14ac:dyDescent="0.25">
      <c r="S359" s="12">
        <v>108220</v>
      </c>
      <c r="T359" s="12">
        <v>108220</v>
      </c>
      <c r="U359" s="12">
        <v>108170</v>
      </c>
      <c r="V359" s="12">
        <v>108170</v>
      </c>
      <c r="W359" s="11">
        <v>114960</v>
      </c>
      <c r="X359" s="11">
        <v>114990</v>
      </c>
      <c r="Y359" s="11">
        <v>114920</v>
      </c>
      <c r="Z359" s="11">
        <v>114950</v>
      </c>
      <c r="AA359" s="11">
        <v>110230</v>
      </c>
      <c r="AB359" s="11">
        <v>110300</v>
      </c>
      <c r="AC359" s="11">
        <v>110230</v>
      </c>
      <c r="AD359" s="11">
        <v>110280</v>
      </c>
      <c r="AE359" s="12">
        <v>111080</v>
      </c>
      <c r="AF359" s="12">
        <v>111150</v>
      </c>
      <c r="AG359" s="12">
        <v>111070</v>
      </c>
      <c r="AH359" s="12">
        <v>111080</v>
      </c>
    </row>
    <row r="360" spans="19:34" x14ac:dyDescent="0.25">
      <c r="S360" s="11">
        <v>108180</v>
      </c>
      <c r="T360" s="11">
        <v>108180</v>
      </c>
      <c r="U360" s="11">
        <v>108180</v>
      </c>
      <c r="V360" s="11">
        <v>108180</v>
      </c>
      <c r="W360" s="12">
        <v>114940</v>
      </c>
      <c r="X360" s="12">
        <v>114950</v>
      </c>
      <c r="Y360" s="12">
        <v>114890</v>
      </c>
      <c r="Z360" s="12">
        <v>114910</v>
      </c>
      <c r="AA360" s="12">
        <v>110290</v>
      </c>
      <c r="AB360" s="12">
        <v>110300</v>
      </c>
      <c r="AC360" s="12">
        <v>110250</v>
      </c>
      <c r="AD360" s="12">
        <v>110270</v>
      </c>
      <c r="AE360" s="11">
        <v>111080</v>
      </c>
      <c r="AF360" s="11">
        <v>111100</v>
      </c>
      <c r="AG360" s="11">
        <v>111020</v>
      </c>
      <c r="AH360" s="11">
        <v>111030</v>
      </c>
    </row>
    <row r="361" spans="19:34" x14ac:dyDescent="0.25">
      <c r="S361" s="12">
        <v>108240</v>
      </c>
      <c r="T361" s="12">
        <v>108260</v>
      </c>
      <c r="U361" s="12">
        <v>108200</v>
      </c>
      <c r="V361" s="12">
        <v>108260</v>
      </c>
      <c r="W361" s="11">
        <v>114900</v>
      </c>
      <c r="X361" s="11">
        <v>114960</v>
      </c>
      <c r="Y361" s="11">
        <v>114890</v>
      </c>
      <c r="Z361" s="11">
        <v>114930</v>
      </c>
      <c r="AA361" s="11">
        <v>110280</v>
      </c>
      <c r="AB361" s="11">
        <v>110300</v>
      </c>
      <c r="AC361" s="11">
        <v>110270</v>
      </c>
      <c r="AD361" s="11">
        <v>110290</v>
      </c>
      <c r="AE361" s="12">
        <v>111030</v>
      </c>
      <c r="AF361" s="12">
        <v>111100</v>
      </c>
      <c r="AG361" s="12">
        <v>111010</v>
      </c>
      <c r="AH361" s="12">
        <v>111080</v>
      </c>
    </row>
    <row r="362" spans="19:34" x14ac:dyDescent="0.25">
      <c r="S362" s="11">
        <v>108270</v>
      </c>
      <c r="T362" s="11">
        <v>108290</v>
      </c>
      <c r="U362" s="11">
        <v>108270</v>
      </c>
      <c r="V362" s="11">
        <v>108290</v>
      </c>
      <c r="W362" s="12">
        <v>114930</v>
      </c>
      <c r="X362" s="12">
        <v>114990</v>
      </c>
      <c r="Y362" s="12">
        <v>114910</v>
      </c>
      <c r="Z362" s="12">
        <v>114960</v>
      </c>
      <c r="AA362" s="12">
        <v>110280</v>
      </c>
      <c r="AB362" s="12">
        <v>110380</v>
      </c>
      <c r="AC362" s="12">
        <v>110280</v>
      </c>
      <c r="AD362" s="12">
        <v>110330</v>
      </c>
      <c r="AE362" s="11">
        <v>111070</v>
      </c>
      <c r="AF362" s="11">
        <v>111100</v>
      </c>
      <c r="AG362" s="11">
        <v>111030</v>
      </c>
      <c r="AH362" s="11">
        <v>111090</v>
      </c>
    </row>
    <row r="363" spans="19:34" x14ac:dyDescent="0.25">
      <c r="S363" s="12">
        <v>108350</v>
      </c>
      <c r="T363" s="12">
        <v>108410</v>
      </c>
      <c r="U363" s="12">
        <v>108350</v>
      </c>
      <c r="V363" s="12">
        <v>108390</v>
      </c>
      <c r="W363" s="11">
        <v>114970</v>
      </c>
      <c r="X363" s="11">
        <v>114990</v>
      </c>
      <c r="Y363" s="11">
        <v>114930</v>
      </c>
      <c r="Z363" s="11">
        <v>114970</v>
      </c>
      <c r="AA363" s="11">
        <v>110340</v>
      </c>
      <c r="AB363" s="11">
        <v>110400</v>
      </c>
      <c r="AC363" s="11">
        <v>110320</v>
      </c>
      <c r="AD363" s="11">
        <v>110360</v>
      </c>
      <c r="AE363" s="12">
        <v>111090</v>
      </c>
      <c r="AF363" s="12">
        <v>111110</v>
      </c>
      <c r="AG363" s="12">
        <v>111030</v>
      </c>
      <c r="AH363" s="12">
        <v>111110</v>
      </c>
    </row>
    <row r="364" spans="19:34" x14ac:dyDescent="0.25">
      <c r="S364" s="11">
        <v>108400</v>
      </c>
      <c r="T364" s="11">
        <v>108490</v>
      </c>
      <c r="U364" s="11">
        <v>108400</v>
      </c>
      <c r="V364" s="11">
        <v>108470</v>
      </c>
      <c r="W364" s="12">
        <v>114970</v>
      </c>
      <c r="X364" s="12">
        <v>114990</v>
      </c>
      <c r="Y364" s="12">
        <v>114920</v>
      </c>
      <c r="Z364" s="12">
        <v>114940</v>
      </c>
      <c r="AA364" s="12">
        <v>110360</v>
      </c>
      <c r="AB364" s="12">
        <v>110480</v>
      </c>
      <c r="AC364" s="12">
        <v>110350</v>
      </c>
      <c r="AD364" s="12">
        <v>110470</v>
      </c>
      <c r="AE364" s="11">
        <v>111100</v>
      </c>
      <c r="AF364" s="11">
        <v>111170</v>
      </c>
      <c r="AG364" s="11">
        <v>111100</v>
      </c>
      <c r="AH364" s="11">
        <v>111120</v>
      </c>
    </row>
    <row r="365" spans="19:34" x14ac:dyDescent="0.25">
      <c r="S365" s="12">
        <v>108490</v>
      </c>
      <c r="T365" s="12">
        <v>108500</v>
      </c>
      <c r="U365" s="12">
        <v>108420</v>
      </c>
      <c r="V365" s="12">
        <v>108450</v>
      </c>
      <c r="W365" s="11">
        <v>114940</v>
      </c>
      <c r="X365" s="11">
        <v>115000</v>
      </c>
      <c r="Y365" s="11">
        <v>114940</v>
      </c>
      <c r="Z365" s="11">
        <v>114970</v>
      </c>
      <c r="AA365" s="11">
        <v>110470</v>
      </c>
      <c r="AB365" s="11">
        <v>110520</v>
      </c>
      <c r="AC365" s="11">
        <v>110450</v>
      </c>
      <c r="AD365" s="11">
        <v>110500</v>
      </c>
      <c r="AE365" s="12">
        <v>111120</v>
      </c>
      <c r="AF365" s="12">
        <v>111160</v>
      </c>
      <c r="AG365" s="12">
        <v>111100</v>
      </c>
      <c r="AH365" s="12">
        <v>111150</v>
      </c>
    </row>
    <row r="366" spans="19:34" x14ac:dyDescent="0.25">
      <c r="S366" s="11">
        <v>108470</v>
      </c>
      <c r="T366" s="11">
        <v>108500</v>
      </c>
      <c r="U366" s="11">
        <v>108470</v>
      </c>
      <c r="V366" s="11">
        <v>108500</v>
      </c>
      <c r="W366" s="12">
        <v>114970</v>
      </c>
      <c r="X366" s="12">
        <v>115040</v>
      </c>
      <c r="Y366" s="12">
        <v>114960</v>
      </c>
      <c r="Z366" s="12">
        <v>115010</v>
      </c>
      <c r="AA366" s="12">
        <v>110510</v>
      </c>
      <c r="AB366" s="12">
        <v>110540</v>
      </c>
      <c r="AC366" s="12">
        <v>110440</v>
      </c>
      <c r="AD366" s="12">
        <v>110460</v>
      </c>
      <c r="AE366" s="11">
        <v>111160</v>
      </c>
      <c r="AF366" s="11">
        <v>111200</v>
      </c>
      <c r="AG366" s="11">
        <v>111150</v>
      </c>
      <c r="AH366" s="11">
        <v>111180</v>
      </c>
    </row>
    <row r="367" spans="19:34" x14ac:dyDescent="0.25">
      <c r="S367" s="12">
        <v>108500</v>
      </c>
      <c r="T367" s="12">
        <v>108590</v>
      </c>
      <c r="U367" s="12">
        <v>108500</v>
      </c>
      <c r="V367" s="12">
        <v>108570</v>
      </c>
      <c r="W367" s="11">
        <v>115010</v>
      </c>
      <c r="X367" s="11">
        <v>115080</v>
      </c>
      <c r="Y367" s="11">
        <v>114980</v>
      </c>
      <c r="Z367" s="11">
        <v>114990</v>
      </c>
      <c r="AA367" s="11">
        <v>110450</v>
      </c>
      <c r="AB367" s="11">
        <v>110520</v>
      </c>
      <c r="AC367" s="11">
        <v>110450</v>
      </c>
      <c r="AD367" s="11">
        <v>110510</v>
      </c>
      <c r="AE367" s="12">
        <v>111190</v>
      </c>
      <c r="AF367" s="12">
        <v>111240</v>
      </c>
      <c r="AG367" s="12">
        <v>111160</v>
      </c>
      <c r="AH367" s="12">
        <v>111230</v>
      </c>
    </row>
    <row r="368" spans="19:34" x14ac:dyDescent="0.25">
      <c r="S368" s="11">
        <v>108570</v>
      </c>
      <c r="T368" s="11">
        <v>108590</v>
      </c>
      <c r="U368" s="11">
        <v>108530</v>
      </c>
      <c r="V368" s="11">
        <v>108530</v>
      </c>
      <c r="W368" s="12">
        <v>114990</v>
      </c>
      <c r="X368" s="12">
        <v>115000</v>
      </c>
      <c r="Y368" s="12">
        <v>114960</v>
      </c>
      <c r="Z368" s="12">
        <v>114990</v>
      </c>
      <c r="AA368" s="12">
        <v>110500</v>
      </c>
      <c r="AB368" s="12">
        <v>110560</v>
      </c>
      <c r="AC368" s="12">
        <v>110490</v>
      </c>
      <c r="AD368" s="12">
        <v>110550</v>
      </c>
      <c r="AE368" s="11">
        <v>111220</v>
      </c>
      <c r="AF368" s="11">
        <v>111280</v>
      </c>
      <c r="AG368" s="11">
        <v>111200</v>
      </c>
      <c r="AH368" s="11">
        <v>111230</v>
      </c>
    </row>
    <row r="369" spans="19:34" x14ac:dyDescent="0.25">
      <c r="S369" s="12">
        <v>108520</v>
      </c>
      <c r="T369" s="12">
        <v>108530</v>
      </c>
      <c r="U369" s="12">
        <v>108510</v>
      </c>
      <c r="V369" s="12">
        <v>108530</v>
      </c>
      <c r="W369" s="11">
        <v>114980</v>
      </c>
      <c r="X369" s="11">
        <v>115020</v>
      </c>
      <c r="Y369" s="11">
        <v>114960</v>
      </c>
      <c r="Z369" s="11">
        <v>114980</v>
      </c>
      <c r="AA369" s="11">
        <v>110560</v>
      </c>
      <c r="AB369" s="11">
        <v>110560</v>
      </c>
      <c r="AC369" s="11">
        <v>110460</v>
      </c>
      <c r="AD369" s="11">
        <v>110460</v>
      </c>
      <c r="AE369" s="12">
        <v>111240</v>
      </c>
      <c r="AF369" s="12">
        <v>111240</v>
      </c>
      <c r="AG369" s="12">
        <v>111200</v>
      </c>
      <c r="AH369" s="12">
        <v>111230</v>
      </c>
    </row>
    <row r="370" spans="19:34" x14ac:dyDescent="0.25">
      <c r="S370" s="11">
        <v>108540</v>
      </c>
      <c r="T370" s="11">
        <v>108580</v>
      </c>
      <c r="U370" s="11">
        <v>108530</v>
      </c>
      <c r="V370" s="11">
        <v>108580</v>
      </c>
      <c r="W370" s="12">
        <v>114960</v>
      </c>
      <c r="X370" s="12">
        <v>115050</v>
      </c>
      <c r="Y370" s="12">
        <v>114960</v>
      </c>
      <c r="Z370" s="12">
        <v>115010</v>
      </c>
      <c r="AA370" s="12">
        <v>110470</v>
      </c>
      <c r="AB370" s="12">
        <v>110490</v>
      </c>
      <c r="AC370" s="12">
        <v>110420</v>
      </c>
      <c r="AD370" s="12">
        <v>110460</v>
      </c>
      <c r="AE370" s="11">
        <v>111230</v>
      </c>
      <c r="AF370" s="11">
        <v>111260</v>
      </c>
      <c r="AG370" s="11">
        <v>111200</v>
      </c>
      <c r="AH370" s="11">
        <v>111240</v>
      </c>
    </row>
    <row r="371" spans="19:34" x14ac:dyDescent="0.25">
      <c r="S371" s="12">
        <v>108550</v>
      </c>
      <c r="T371" s="12">
        <v>108550</v>
      </c>
      <c r="U371" s="12">
        <v>108520</v>
      </c>
      <c r="V371" s="12">
        <v>108520</v>
      </c>
      <c r="W371" s="11">
        <v>115020</v>
      </c>
      <c r="X371" s="11">
        <v>115150</v>
      </c>
      <c r="Y371" s="11">
        <v>115020</v>
      </c>
      <c r="Z371" s="11">
        <v>115150</v>
      </c>
      <c r="AA371" s="11">
        <v>110470</v>
      </c>
      <c r="AB371" s="11">
        <v>110470</v>
      </c>
      <c r="AC371" s="11">
        <v>110430</v>
      </c>
      <c r="AD371" s="11">
        <v>110440</v>
      </c>
      <c r="AE371" s="12">
        <v>111230</v>
      </c>
      <c r="AF371" s="12">
        <v>111310</v>
      </c>
      <c r="AG371" s="12">
        <v>111210</v>
      </c>
      <c r="AH371" s="12">
        <v>111270</v>
      </c>
    </row>
    <row r="372" spans="19:34" x14ac:dyDescent="0.25">
      <c r="S372" s="11">
        <v>108520</v>
      </c>
      <c r="T372" s="11">
        <v>108530</v>
      </c>
      <c r="U372" s="11">
        <v>108510</v>
      </c>
      <c r="V372" s="11">
        <v>108520</v>
      </c>
      <c r="W372" s="12">
        <v>115140</v>
      </c>
      <c r="X372" s="12">
        <v>115150</v>
      </c>
      <c r="Y372" s="12">
        <v>115040</v>
      </c>
      <c r="Z372" s="12">
        <v>115060</v>
      </c>
      <c r="AA372" s="12">
        <v>110440</v>
      </c>
      <c r="AB372" s="12">
        <v>110500</v>
      </c>
      <c r="AC372" s="12">
        <v>110440</v>
      </c>
      <c r="AD372" s="12">
        <v>110460</v>
      </c>
      <c r="AE372" s="11">
        <v>111280</v>
      </c>
      <c r="AF372" s="11">
        <v>111310</v>
      </c>
      <c r="AG372" s="11">
        <v>111240</v>
      </c>
      <c r="AH372" s="11">
        <v>111300</v>
      </c>
    </row>
    <row r="373" spans="19:34" x14ac:dyDescent="0.25">
      <c r="S373" s="12">
        <v>108520</v>
      </c>
      <c r="T373" s="12">
        <v>108520</v>
      </c>
      <c r="U373" s="12">
        <v>108460</v>
      </c>
      <c r="V373" s="12">
        <v>108510</v>
      </c>
      <c r="W373" s="11">
        <v>115050</v>
      </c>
      <c r="X373" s="11">
        <v>115060</v>
      </c>
      <c r="Y373" s="11">
        <v>115000</v>
      </c>
      <c r="Z373" s="11">
        <v>115000</v>
      </c>
      <c r="AA373" s="11">
        <v>110460</v>
      </c>
      <c r="AB373" s="11">
        <v>110500</v>
      </c>
      <c r="AC373" s="11">
        <v>110460</v>
      </c>
      <c r="AD373" s="11">
        <v>110470</v>
      </c>
      <c r="AE373" s="12">
        <v>111300</v>
      </c>
      <c r="AF373" s="12">
        <v>111330</v>
      </c>
      <c r="AG373" s="12">
        <v>111270</v>
      </c>
      <c r="AH373" s="12">
        <v>111290</v>
      </c>
    </row>
    <row r="374" spans="19:34" x14ac:dyDescent="0.25">
      <c r="S374" s="11">
        <v>108500</v>
      </c>
      <c r="T374" s="11">
        <v>108510</v>
      </c>
      <c r="U374" s="11">
        <v>108500</v>
      </c>
      <c r="V374" s="11">
        <v>108500</v>
      </c>
      <c r="W374" s="12">
        <v>115010</v>
      </c>
      <c r="X374" s="12">
        <v>115060</v>
      </c>
      <c r="Y374" s="12">
        <v>114980</v>
      </c>
      <c r="Z374" s="12">
        <v>115020</v>
      </c>
      <c r="AA374" s="12">
        <v>110460</v>
      </c>
      <c r="AB374" s="12">
        <v>110550</v>
      </c>
      <c r="AC374" s="12">
        <v>110460</v>
      </c>
      <c r="AD374" s="12">
        <v>110510</v>
      </c>
      <c r="AE374" s="11">
        <v>111280</v>
      </c>
      <c r="AF374" s="11">
        <v>111300</v>
      </c>
      <c r="AG374" s="11">
        <v>111260</v>
      </c>
      <c r="AH374" s="11">
        <v>111270</v>
      </c>
    </row>
    <row r="375" spans="19:34" x14ac:dyDescent="0.25">
      <c r="S375" s="12">
        <v>108490</v>
      </c>
      <c r="T375" s="12">
        <v>108490</v>
      </c>
      <c r="U375" s="12">
        <v>108460</v>
      </c>
      <c r="V375" s="12">
        <v>108460</v>
      </c>
      <c r="W375" s="11">
        <v>115020</v>
      </c>
      <c r="X375" s="11">
        <v>115050</v>
      </c>
      <c r="Y375" s="11">
        <v>114980</v>
      </c>
      <c r="Z375" s="11">
        <v>115050</v>
      </c>
      <c r="AA375" s="11">
        <v>110510</v>
      </c>
      <c r="AB375" s="11">
        <v>110610</v>
      </c>
      <c r="AC375" s="11">
        <v>110500</v>
      </c>
      <c r="AD375" s="11">
        <v>110580</v>
      </c>
      <c r="AE375" s="12">
        <v>111270</v>
      </c>
      <c r="AF375" s="12">
        <v>111310</v>
      </c>
      <c r="AG375" s="12">
        <v>111260</v>
      </c>
      <c r="AH375" s="12">
        <v>111280</v>
      </c>
    </row>
    <row r="376" spans="19:34" x14ac:dyDescent="0.25">
      <c r="S376" s="11">
        <v>108430</v>
      </c>
      <c r="T376" s="11">
        <v>108440</v>
      </c>
      <c r="U376" s="11">
        <v>108400</v>
      </c>
      <c r="V376" s="11">
        <v>108400</v>
      </c>
      <c r="W376" s="12">
        <v>115050</v>
      </c>
      <c r="X376" s="12">
        <v>115060</v>
      </c>
      <c r="Y376" s="12">
        <v>115000</v>
      </c>
      <c r="Z376" s="12">
        <v>115020</v>
      </c>
      <c r="AA376" s="12">
        <v>110560</v>
      </c>
      <c r="AB376" s="12">
        <v>110650</v>
      </c>
      <c r="AC376" s="12">
        <v>110550</v>
      </c>
      <c r="AD376" s="12">
        <v>110600</v>
      </c>
      <c r="AE376" s="11">
        <v>111280</v>
      </c>
      <c r="AF376" s="11">
        <v>111300</v>
      </c>
      <c r="AG376" s="11">
        <v>111270</v>
      </c>
      <c r="AH376" s="11">
        <v>111290</v>
      </c>
    </row>
    <row r="377" spans="19:34" x14ac:dyDescent="0.25">
      <c r="S377" s="12">
        <v>108380</v>
      </c>
      <c r="T377" s="12">
        <v>108390</v>
      </c>
      <c r="U377" s="12">
        <v>108320</v>
      </c>
      <c r="V377" s="12">
        <v>108340</v>
      </c>
      <c r="W377" s="11">
        <v>115020</v>
      </c>
      <c r="X377" s="11">
        <v>115050</v>
      </c>
      <c r="Y377" s="11">
        <v>115000</v>
      </c>
      <c r="Z377" s="11">
        <v>115050</v>
      </c>
      <c r="AA377" s="11">
        <v>110580</v>
      </c>
      <c r="AB377" s="11">
        <v>110770</v>
      </c>
      <c r="AC377" s="11">
        <v>110570</v>
      </c>
      <c r="AD377" s="11">
        <v>110640</v>
      </c>
      <c r="AE377" s="12">
        <v>111290</v>
      </c>
      <c r="AF377" s="12">
        <v>111330</v>
      </c>
      <c r="AG377" s="12">
        <v>111290</v>
      </c>
      <c r="AH377" s="12">
        <v>111300</v>
      </c>
    </row>
    <row r="378" spans="19:34" x14ac:dyDescent="0.25">
      <c r="S378" s="11">
        <v>108360</v>
      </c>
      <c r="T378" s="11">
        <v>108360</v>
      </c>
      <c r="U378" s="11">
        <v>108360</v>
      </c>
      <c r="V378" s="11">
        <v>108360</v>
      </c>
      <c r="W378" s="12">
        <v>115050</v>
      </c>
      <c r="X378" s="12">
        <v>115080</v>
      </c>
      <c r="Y378" s="12">
        <v>115050</v>
      </c>
      <c r="Z378" s="12">
        <v>115060</v>
      </c>
      <c r="AA378" s="12">
        <v>110640</v>
      </c>
      <c r="AB378" s="12">
        <v>110670</v>
      </c>
      <c r="AC378" s="12">
        <v>110520</v>
      </c>
      <c r="AD378" s="12">
        <v>110530</v>
      </c>
      <c r="AE378" s="11">
        <v>111290</v>
      </c>
      <c r="AF378" s="11">
        <v>111290</v>
      </c>
      <c r="AG378" s="11">
        <v>111250</v>
      </c>
      <c r="AH378" s="11">
        <v>111270</v>
      </c>
    </row>
    <row r="379" spans="19:34" x14ac:dyDescent="0.25">
      <c r="S379" s="12">
        <v>108330</v>
      </c>
      <c r="T379" s="12">
        <v>108330</v>
      </c>
      <c r="U379" s="12">
        <v>108270</v>
      </c>
      <c r="V379" s="12">
        <v>108290</v>
      </c>
      <c r="W379" s="11">
        <v>115060</v>
      </c>
      <c r="X379" s="11">
        <v>115180</v>
      </c>
      <c r="Y379" s="11">
        <v>115060</v>
      </c>
      <c r="Z379" s="11">
        <v>115130</v>
      </c>
      <c r="AA379" s="11">
        <v>110520</v>
      </c>
      <c r="AB379" s="11">
        <v>110580</v>
      </c>
      <c r="AC379" s="11">
        <v>110480</v>
      </c>
      <c r="AD379" s="11">
        <v>110480</v>
      </c>
      <c r="AE379" s="12">
        <v>111270</v>
      </c>
      <c r="AF379" s="12">
        <v>111270</v>
      </c>
      <c r="AG379" s="12">
        <v>111230</v>
      </c>
      <c r="AH379" s="12">
        <v>111250</v>
      </c>
    </row>
    <row r="380" spans="19:34" x14ac:dyDescent="0.25">
      <c r="S380" s="11">
        <v>108310</v>
      </c>
      <c r="T380" s="11">
        <v>108350</v>
      </c>
      <c r="U380" s="11">
        <v>108310</v>
      </c>
      <c r="V380" s="11">
        <v>108350</v>
      </c>
      <c r="W380" s="12">
        <v>115130</v>
      </c>
      <c r="X380" s="12">
        <v>115150</v>
      </c>
      <c r="Y380" s="12">
        <v>115090</v>
      </c>
      <c r="Z380" s="12">
        <v>115090</v>
      </c>
      <c r="AA380" s="12">
        <v>110480</v>
      </c>
      <c r="AB380" s="12">
        <v>110490</v>
      </c>
      <c r="AC380" s="12">
        <v>110420</v>
      </c>
      <c r="AD380" s="12">
        <v>110440</v>
      </c>
      <c r="AE380" s="11">
        <v>111240</v>
      </c>
      <c r="AF380" s="11">
        <v>111270</v>
      </c>
      <c r="AG380" s="11">
        <v>111220</v>
      </c>
      <c r="AH380" s="11">
        <v>111230</v>
      </c>
    </row>
    <row r="381" spans="19:34" x14ac:dyDescent="0.25">
      <c r="S381" s="12">
        <v>108320</v>
      </c>
      <c r="T381" s="12">
        <v>108320</v>
      </c>
      <c r="U381" s="12">
        <v>108290</v>
      </c>
      <c r="V381" s="12">
        <v>108290</v>
      </c>
      <c r="W381" s="11">
        <v>115090</v>
      </c>
      <c r="X381" s="11">
        <v>115220</v>
      </c>
      <c r="Y381" s="11">
        <v>115080</v>
      </c>
      <c r="Z381" s="11">
        <v>115140</v>
      </c>
      <c r="AA381" s="11">
        <v>110430</v>
      </c>
      <c r="AB381" s="11">
        <v>110510</v>
      </c>
      <c r="AC381" s="11">
        <v>110430</v>
      </c>
      <c r="AD381" s="11">
        <v>110450</v>
      </c>
      <c r="AE381" s="12">
        <v>111230</v>
      </c>
      <c r="AF381" s="12">
        <v>111250</v>
      </c>
      <c r="AG381" s="12">
        <v>111220</v>
      </c>
      <c r="AH381" s="12">
        <v>111250</v>
      </c>
    </row>
    <row r="382" spans="19:34" x14ac:dyDescent="0.25">
      <c r="S382" s="11">
        <v>108300</v>
      </c>
      <c r="T382" s="11">
        <v>108330</v>
      </c>
      <c r="U382" s="11">
        <v>108300</v>
      </c>
      <c r="V382" s="11">
        <v>108330</v>
      </c>
      <c r="W382" s="12">
        <v>115160</v>
      </c>
      <c r="X382" s="12">
        <v>115370</v>
      </c>
      <c r="Y382" s="12">
        <v>115150</v>
      </c>
      <c r="Z382" s="12">
        <v>115230</v>
      </c>
      <c r="AA382" s="12">
        <v>110450</v>
      </c>
      <c r="AB382" s="12">
        <v>110500</v>
      </c>
      <c r="AC382" s="12">
        <v>110440</v>
      </c>
      <c r="AD382" s="12">
        <v>110480</v>
      </c>
      <c r="AE382" s="11">
        <v>111250</v>
      </c>
      <c r="AF382" s="11">
        <v>111280</v>
      </c>
      <c r="AG382" s="11">
        <v>111230</v>
      </c>
      <c r="AH382" s="11">
        <v>111260</v>
      </c>
    </row>
    <row r="383" spans="19:34" x14ac:dyDescent="0.25">
      <c r="S383" s="12">
        <v>108330</v>
      </c>
      <c r="T383" s="12">
        <v>108330</v>
      </c>
      <c r="U383" s="12">
        <v>108300</v>
      </c>
      <c r="V383" s="12">
        <v>108330</v>
      </c>
      <c r="W383" s="11">
        <v>115220</v>
      </c>
      <c r="X383" s="11">
        <v>115240</v>
      </c>
      <c r="Y383" s="11">
        <v>115190</v>
      </c>
      <c r="Z383" s="11">
        <v>115200</v>
      </c>
      <c r="AA383" s="11">
        <v>110490</v>
      </c>
      <c r="AB383" s="11">
        <v>110510</v>
      </c>
      <c r="AC383" s="11">
        <v>110470</v>
      </c>
      <c r="AD383" s="11">
        <v>110500</v>
      </c>
      <c r="AE383" s="12">
        <v>111260</v>
      </c>
      <c r="AF383" s="12">
        <v>111270</v>
      </c>
      <c r="AG383" s="12">
        <v>111230</v>
      </c>
      <c r="AH383" s="12">
        <v>111250</v>
      </c>
    </row>
    <row r="384" spans="19:34" x14ac:dyDescent="0.25">
      <c r="S384" s="11">
        <v>108300</v>
      </c>
      <c r="T384" s="11">
        <v>108310</v>
      </c>
      <c r="U384" s="11">
        <v>108250</v>
      </c>
      <c r="V384" s="11">
        <v>108250</v>
      </c>
      <c r="W384" s="12">
        <v>115200</v>
      </c>
      <c r="X384" s="12">
        <v>115220</v>
      </c>
      <c r="Y384" s="12">
        <v>115160</v>
      </c>
      <c r="Z384" s="12">
        <v>115170</v>
      </c>
      <c r="AA384" s="12">
        <v>110490</v>
      </c>
      <c r="AB384" s="12">
        <v>110510</v>
      </c>
      <c r="AC384" s="12">
        <v>110460</v>
      </c>
      <c r="AD384" s="12">
        <v>110480</v>
      </c>
      <c r="AE384" s="11">
        <v>111240</v>
      </c>
      <c r="AF384" s="11">
        <v>111250</v>
      </c>
      <c r="AG384" s="11">
        <v>111170</v>
      </c>
      <c r="AH384" s="11">
        <v>111180</v>
      </c>
    </row>
    <row r="385" spans="19:34" x14ac:dyDescent="0.25">
      <c r="S385" s="12">
        <v>108250</v>
      </c>
      <c r="T385" s="12">
        <v>108270</v>
      </c>
      <c r="U385" s="12">
        <v>108240</v>
      </c>
      <c r="V385" s="12">
        <v>108240</v>
      </c>
      <c r="W385" s="11">
        <v>115170</v>
      </c>
      <c r="X385" s="11">
        <v>115180</v>
      </c>
      <c r="Y385" s="11">
        <v>115140</v>
      </c>
      <c r="Z385" s="11">
        <v>115170</v>
      </c>
      <c r="AA385" s="11">
        <v>110490</v>
      </c>
      <c r="AB385" s="11">
        <v>110500</v>
      </c>
      <c r="AC385" s="11">
        <v>110470</v>
      </c>
      <c r="AD385" s="11">
        <v>110500</v>
      </c>
      <c r="AE385" s="12">
        <v>111180</v>
      </c>
      <c r="AF385" s="12">
        <v>111220</v>
      </c>
      <c r="AG385" s="12">
        <v>111180</v>
      </c>
      <c r="AH385" s="12">
        <v>111210</v>
      </c>
    </row>
    <row r="386" spans="19:34" x14ac:dyDescent="0.25">
      <c r="S386" s="11">
        <v>108250</v>
      </c>
      <c r="T386" s="11">
        <v>108250</v>
      </c>
      <c r="U386" s="11">
        <v>108210</v>
      </c>
      <c r="V386" s="11">
        <v>108210</v>
      </c>
      <c r="W386" s="12">
        <v>115180</v>
      </c>
      <c r="X386" s="12">
        <v>115180</v>
      </c>
      <c r="Y386" s="12">
        <v>115130</v>
      </c>
      <c r="Z386" s="12">
        <v>115150</v>
      </c>
      <c r="AA386" s="12">
        <v>110500</v>
      </c>
      <c r="AB386" s="12">
        <v>110660</v>
      </c>
      <c r="AC386" s="12">
        <v>110500</v>
      </c>
      <c r="AD386" s="12">
        <v>110640</v>
      </c>
      <c r="AE386" s="11">
        <v>111200</v>
      </c>
      <c r="AF386" s="11">
        <v>111220</v>
      </c>
      <c r="AG386" s="11">
        <v>111180</v>
      </c>
      <c r="AH386" s="11">
        <v>111200</v>
      </c>
    </row>
    <row r="387" spans="19:34" x14ac:dyDescent="0.25">
      <c r="S387" s="12">
        <v>108250</v>
      </c>
      <c r="T387" s="12">
        <v>108260</v>
      </c>
      <c r="U387" s="12">
        <v>108200</v>
      </c>
      <c r="V387" s="12">
        <v>108200</v>
      </c>
      <c r="W387" s="11">
        <v>115150</v>
      </c>
      <c r="X387" s="11">
        <v>115150</v>
      </c>
      <c r="Y387" s="11">
        <v>115070</v>
      </c>
      <c r="Z387" s="11">
        <v>115150</v>
      </c>
      <c r="AA387" s="11">
        <v>110640</v>
      </c>
      <c r="AB387" s="11">
        <v>110980</v>
      </c>
      <c r="AC387" s="11">
        <v>110640</v>
      </c>
      <c r="AD387" s="11">
        <v>110910</v>
      </c>
      <c r="AE387" s="12">
        <v>111200</v>
      </c>
      <c r="AF387" s="12">
        <v>111210</v>
      </c>
      <c r="AG387" s="12">
        <v>111150</v>
      </c>
      <c r="AH387" s="12">
        <v>111180</v>
      </c>
    </row>
    <row r="388" spans="19:34" x14ac:dyDescent="0.25">
      <c r="S388" s="11">
        <v>108200</v>
      </c>
      <c r="T388" s="11">
        <v>108200</v>
      </c>
      <c r="U388" s="11">
        <v>108200</v>
      </c>
      <c r="V388" s="11">
        <v>108200</v>
      </c>
      <c r="W388" s="12">
        <v>115140</v>
      </c>
      <c r="X388" s="12">
        <v>115270</v>
      </c>
      <c r="Y388" s="12">
        <v>115110</v>
      </c>
      <c r="Z388" s="12">
        <v>115260</v>
      </c>
      <c r="AA388" s="12">
        <v>110920</v>
      </c>
      <c r="AB388" s="12">
        <v>111030</v>
      </c>
      <c r="AC388" s="12">
        <v>110880</v>
      </c>
      <c r="AD388" s="12">
        <v>110900</v>
      </c>
      <c r="AE388" s="11">
        <v>111180</v>
      </c>
      <c r="AF388" s="11">
        <v>111250</v>
      </c>
      <c r="AG388" s="11">
        <v>111100</v>
      </c>
      <c r="AH388" s="11">
        <v>111170</v>
      </c>
    </row>
    <row r="389" spans="19:34" x14ac:dyDescent="0.25">
      <c r="S389" s="12">
        <v>108210</v>
      </c>
      <c r="T389" s="12">
        <v>108210</v>
      </c>
      <c r="U389" s="12">
        <v>108210</v>
      </c>
      <c r="V389" s="12">
        <v>108210</v>
      </c>
      <c r="W389" s="11">
        <v>115250</v>
      </c>
      <c r="X389" s="11">
        <v>115260</v>
      </c>
      <c r="Y389" s="11">
        <v>115080</v>
      </c>
      <c r="Z389" s="11">
        <v>115100</v>
      </c>
      <c r="AA389" s="11">
        <v>110910</v>
      </c>
      <c r="AB389" s="11">
        <v>110930</v>
      </c>
      <c r="AC389" s="11">
        <v>110780</v>
      </c>
      <c r="AD389" s="11">
        <v>110810</v>
      </c>
      <c r="AE389" s="12">
        <v>111180</v>
      </c>
      <c r="AF389" s="12">
        <v>111200</v>
      </c>
      <c r="AG389" s="12">
        <v>111120</v>
      </c>
      <c r="AH389" s="12">
        <v>111130</v>
      </c>
    </row>
    <row r="390" spans="19:34" x14ac:dyDescent="0.25">
      <c r="S390" s="11">
        <v>108200</v>
      </c>
      <c r="T390" s="11">
        <v>108200</v>
      </c>
      <c r="U390" s="11">
        <v>108160</v>
      </c>
      <c r="V390" s="11">
        <v>108180</v>
      </c>
      <c r="W390" s="12">
        <v>115100</v>
      </c>
      <c r="X390" s="12">
        <v>115180</v>
      </c>
      <c r="Y390" s="12">
        <v>115080</v>
      </c>
      <c r="Z390" s="12">
        <v>115110</v>
      </c>
      <c r="AA390" s="12">
        <v>110820</v>
      </c>
      <c r="AB390" s="12">
        <v>110860</v>
      </c>
      <c r="AC390" s="12">
        <v>110800</v>
      </c>
      <c r="AD390" s="12">
        <v>110820</v>
      </c>
      <c r="AE390" s="11">
        <v>111140</v>
      </c>
      <c r="AF390" s="11">
        <v>111190</v>
      </c>
      <c r="AG390" s="11">
        <v>111120</v>
      </c>
      <c r="AH390" s="11">
        <v>111160</v>
      </c>
    </row>
    <row r="391" spans="19:34" x14ac:dyDescent="0.25">
      <c r="S391" s="12">
        <v>108200</v>
      </c>
      <c r="T391" s="12">
        <v>108200</v>
      </c>
      <c r="U391" s="12">
        <v>108170</v>
      </c>
      <c r="V391" s="12">
        <v>108170</v>
      </c>
      <c r="W391" s="11">
        <v>115110</v>
      </c>
      <c r="X391" s="11">
        <v>115130</v>
      </c>
      <c r="Y391" s="11">
        <v>115020</v>
      </c>
      <c r="Z391" s="11">
        <v>115040</v>
      </c>
      <c r="AA391" s="11">
        <v>110820</v>
      </c>
      <c r="AB391" s="11">
        <v>110950</v>
      </c>
      <c r="AC391" s="11">
        <v>110800</v>
      </c>
      <c r="AD391" s="11">
        <v>110910</v>
      </c>
      <c r="AE391" s="12">
        <v>111160</v>
      </c>
      <c r="AF391" s="12">
        <v>111270</v>
      </c>
      <c r="AG391" s="12">
        <v>111150</v>
      </c>
      <c r="AH391" s="12">
        <v>111210</v>
      </c>
    </row>
    <row r="392" spans="19:34" x14ac:dyDescent="0.25">
      <c r="S392" s="11">
        <v>108190</v>
      </c>
      <c r="T392" s="11">
        <v>108200</v>
      </c>
      <c r="U392" s="11">
        <v>108150</v>
      </c>
      <c r="V392" s="11">
        <v>108150</v>
      </c>
      <c r="W392" s="12">
        <v>115060</v>
      </c>
      <c r="X392" s="12">
        <v>115220</v>
      </c>
      <c r="Y392" s="12">
        <v>115060</v>
      </c>
      <c r="Z392" s="12">
        <v>115080</v>
      </c>
      <c r="AA392" s="12">
        <v>110900</v>
      </c>
      <c r="AB392" s="12">
        <v>110970</v>
      </c>
      <c r="AC392" s="12">
        <v>110860</v>
      </c>
      <c r="AD392" s="12">
        <v>110870</v>
      </c>
      <c r="AE392" s="11">
        <v>111200</v>
      </c>
      <c r="AF392" s="11">
        <v>111260</v>
      </c>
      <c r="AG392" s="11">
        <v>111190</v>
      </c>
      <c r="AH392" s="11">
        <v>111250</v>
      </c>
    </row>
    <row r="393" spans="19:34" x14ac:dyDescent="0.25">
      <c r="S393" s="12">
        <v>108180</v>
      </c>
      <c r="T393" s="12">
        <v>108210</v>
      </c>
      <c r="U393" s="12">
        <v>108160</v>
      </c>
      <c r="V393" s="12">
        <v>108200</v>
      </c>
      <c r="W393" s="11">
        <v>115080</v>
      </c>
      <c r="X393" s="11">
        <v>115140</v>
      </c>
      <c r="Y393" s="11">
        <v>115070</v>
      </c>
      <c r="Z393" s="11">
        <v>115110</v>
      </c>
      <c r="AA393" s="11">
        <v>110880</v>
      </c>
      <c r="AB393" s="11">
        <v>110910</v>
      </c>
      <c r="AC393" s="11">
        <v>110840</v>
      </c>
      <c r="AD393" s="11">
        <v>110860</v>
      </c>
      <c r="AE393" s="12">
        <v>111250</v>
      </c>
      <c r="AF393" s="12">
        <v>111300</v>
      </c>
      <c r="AG393" s="12">
        <v>111240</v>
      </c>
      <c r="AH393" s="12">
        <v>111260</v>
      </c>
    </row>
    <row r="394" spans="19:34" x14ac:dyDescent="0.25">
      <c r="S394" s="11">
        <v>108200</v>
      </c>
      <c r="T394" s="11">
        <v>108200</v>
      </c>
      <c r="U394" s="11">
        <v>108140</v>
      </c>
      <c r="V394" s="11">
        <v>108140</v>
      </c>
      <c r="W394" s="12">
        <v>115100</v>
      </c>
      <c r="X394" s="12">
        <v>115200</v>
      </c>
      <c r="Y394" s="12">
        <v>115090</v>
      </c>
      <c r="Z394" s="12">
        <v>115100</v>
      </c>
      <c r="AA394" s="12">
        <v>110860</v>
      </c>
      <c r="AB394" s="12">
        <v>110980</v>
      </c>
      <c r="AC394" s="12">
        <v>110860</v>
      </c>
      <c r="AD394" s="12">
        <v>110890</v>
      </c>
      <c r="AE394" s="11">
        <v>111260</v>
      </c>
      <c r="AF394" s="11">
        <v>111280</v>
      </c>
      <c r="AG394" s="11">
        <v>111230</v>
      </c>
      <c r="AH394" s="11">
        <v>111260</v>
      </c>
    </row>
    <row r="395" spans="19:34" x14ac:dyDescent="0.25">
      <c r="S395" s="12">
        <v>108120</v>
      </c>
      <c r="T395" s="12">
        <v>108120</v>
      </c>
      <c r="U395" s="12">
        <v>108080</v>
      </c>
      <c r="V395" s="12">
        <v>108100</v>
      </c>
      <c r="W395" s="11">
        <v>115090</v>
      </c>
      <c r="X395" s="11">
        <v>115180</v>
      </c>
      <c r="Y395" s="11">
        <v>115070</v>
      </c>
      <c r="Z395" s="11">
        <v>115090</v>
      </c>
      <c r="AA395" s="11">
        <v>110900</v>
      </c>
      <c r="AB395" s="11">
        <v>110900</v>
      </c>
      <c r="AC395" s="11">
        <v>110850</v>
      </c>
      <c r="AD395" s="11">
        <v>110870</v>
      </c>
      <c r="AE395" s="12">
        <v>111250</v>
      </c>
      <c r="AF395" s="12">
        <v>111310</v>
      </c>
      <c r="AG395" s="12">
        <v>111250</v>
      </c>
      <c r="AH395" s="12">
        <v>111270</v>
      </c>
    </row>
    <row r="396" spans="19:34" x14ac:dyDescent="0.25">
      <c r="S396" s="11">
        <v>108150</v>
      </c>
      <c r="T396" s="11">
        <v>108160</v>
      </c>
      <c r="U396" s="11">
        <v>108120</v>
      </c>
      <c r="V396" s="11">
        <v>108120</v>
      </c>
      <c r="W396" s="12">
        <v>115090</v>
      </c>
      <c r="X396" s="12">
        <v>115110</v>
      </c>
      <c r="Y396" s="12">
        <v>115060</v>
      </c>
      <c r="Z396" s="12">
        <v>115100</v>
      </c>
      <c r="AA396" s="12">
        <v>110870</v>
      </c>
      <c r="AB396" s="12">
        <v>110920</v>
      </c>
      <c r="AC396" s="12">
        <v>110830</v>
      </c>
      <c r="AD396" s="12">
        <v>110850</v>
      </c>
      <c r="AE396" s="11">
        <v>111270</v>
      </c>
      <c r="AF396" s="11">
        <v>111280</v>
      </c>
      <c r="AG396" s="11">
        <v>111230</v>
      </c>
      <c r="AH396" s="11">
        <v>111260</v>
      </c>
    </row>
    <row r="397" spans="19:34" x14ac:dyDescent="0.25">
      <c r="S397" s="12">
        <v>108160</v>
      </c>
      <c r="T397" s="12">
        <v>108210</v>
      </c>
      <c r="U397" s="12">
        <v>108160</v>
      </c>
      <c r="V397" s="12">
        <v>108210</v>
      </c>
      <c r="W397" s="11">
        <v>115110</v>
      </c>
      <c r="X397" s="11">
        <v>115190</v>
      </c>
      <c r="Y397" s="11">
        <v>115030</v>
      </c>
      <c r="Z397" s="11">
        <v>115040</v>
      </c>
      <c r="AA397" s="11">
        <v>110850</v>
      </c>
      <c r="AB397" s="11">
        <v>110870</v>
      </c>
      <c r="AC397" s="11">
        <v>110770</v>
      </c>
      <c r="AD397" s="11">
        <v>110790</v>
      </c>
      <c r="AE397" s="12">
        <v>111250</v>
      </c>
      <c r="AF397" s="12">
        <v>111270</v>
      </c>
      <c r="AG397" s="12">
        <v>111230</v>
      </c>
      <c r="AH397" s="12">
        <v>111250</v>
      </c>
    </row>
    <row r="398" spans="19:34" x14ac:dyDescent="0.25">
      <c r="S398" s="11">
        <v>108180</v>
      </c>
      <c r="T398" s="11">
        <v>108180</v>
      </c>
      <c r="U398" s="11">
        <v>108120</v>
      </c>
      <c r="V398" s="11">
        <v>108120</v>
      </c>
      <c r="W398" s="12">
        <v>115040</v>
      </c>
      <c r="X398" s="12">
        <v>115120</v>
      </c>
      <c r="Y398" s="12">
        <v>115030</v>
      </c>
      <c r="Z398" s="12">
        <v>115110</v>
      </c>
      <c r="AA398" s="12">
        <v>110790</v>
      </c>
      <c r="AB398" s="12">
        <v>110850</v>
      </c>
      <c r="AC398" s="12">
        <v>110780</v>
      </c>
      <c r="AD398" s="12">
        <v>110800</v>
      </c>
      <c r="AE398" s="11">
        <v>111260</v>
      </c>
      <c r="AF398" s="11">
        <v>111320</v>
      </c>
      <c r="AG398" s="11">
        <v>111260</v>
      </c>
      <c r="AH398" s="11">
        <v>111290</v>
      </c>
    </row>
    <row r="399" spans="19:34" x14ac:dyDescent="0.25">
      <c r="S399" s="12">
        <v>108140</v>
      </c>
      <c r="T399" s="12">
        <v>108180</v>
      </c>
      <c r="U399" s="12">
        <v>108070</v>
      </c>
      <c r="V399" s="12">
        <v>108070</v>
      </c>
      <c r="W399" s="11">
        <v>115090</v>
      </c>
      <c r="X399" s="11">
        <v>115100</v>
      </c>
      <c r="Y399" s="11">
        <v>115050</v>
      </c>
      <c r="Z399" s="11">
        <v>115080</v>
      </c>
      <c r="AA399" s="11">
        <v>110800</v>
      </c>
      <c r="AB399" s="11">
        <v>110820</v>
      </c>
      <c r="AC399" s="11">
        <v>110780</v>
      </c>
      <c r="AD399" s="11">
        <v>110780</v>
      </c>
      <c r="AE399" s="12">
        <v>111290</v>
      </c>
      <c r="AF399" s="12">
        <v>111310</v>
      </c>
      <c r="AG399" s="12">
        <v>111230</v>
      </c>
      <c r="AH399" s="12">
        <v>111260</v>
      </c>
    </row>
    <row r="400" spans="19:34" x14ac:dyDescent="0.25">
      <c r="S400" s="11">
        <v>108060</v>
      </c>
      <c r="T400" s="11">
        <v>108090</v>
      </c>
      <c r="U400" s="11">
        <v>108050</v>
      </c>
      <c r="V400" s="11">
        <v>108060</v>
      </c>
      <c r="W400" s="12">
        <v>115090</v>
      </c>
      <c r="X400" s="12">
        <v>115110</v>
      </c>
      <c r="Y400" s="12">
        <v>115050</v>
      </c>
      <c r="Z400" s="12">
        <v>115070</v>
      </c>
      <c r="AA400" s="12">
        <v>110790</v>
      </c>
      <c r="AB400" s="12">
        <v>110890</v>
      </c>
      <c r="AC400" s="12">
        <v>110770</v>
      </c>
      <c r="AD400" s="12">
        <v>110840</v>
      </c>
      <c r="AE400" s="11">
        <v>111260</v>
      </c>
      <c r="AF400" s="11">
        <v>111320</v>
      </c>
      <c r="AG400" s="11">
        <v>111240</v>
      </c>
      <c r="AH400" s="11">
        <v>111300</v>
      </c>
    </row>
    <row r="401" spans="19:34" x14ac:dyDescent="0.25">
      <c r="S401" s="12">
        <v>108100</v>
      </c>
      <c r="T401" s="12">
        <v>108110</v>
      </c>
      <c r="U401" s="12">
        <v>108100</v>
      </c>
      <c r="V401" s="12">
        <v>108100</v>
      </c>
      <c r="W401" s="11">
        <v>115050</v>
      </c>
      <c r="X401" s="11">
        <v>115100</v>
      </c>
      <c r="Y401" s="11">
        <v>115040</v>
      </c>
      <c r="Z401" s="11">
        <v>115070</v>
      </c>
      <c r="AA401" s="11">
        <v>110840</v>
      </c>
      <c r="AB401" s="11">
        <v>110900</v>
      </c>
      <c r="AC401" s="11">
        <v>110820</v>
      </c>
      <c r="AD401" s="11">
        <v>110860</v>
      </c>
      <c r="AE401" s="12">
        <v>111300</v>
      </c>
      <c r="AF401" s="12">
        <v>111330</v>
      </c>
      <c r="AG401" s="12">
        <v>111270</v>
      </c>
      <c r="AH401" s="12">
        <v>111310</v>
      </c>
    </row>
    <row r="402" spans="19:34" x14ac:dyDescent="0.25">
      <c r="S402" s="11">
        <v>108080</v>
      </c>
      <c r="T402" s="11">
        <v>108080</v>
      </c>
      <c r="U402" s="11">
        <v>108060</v>
      </c>
      <c r="V402" s="11">
        <v>108080</v>
      </c>
      <c r="W402" s="12">
        <v>115080</v>
      </c>
      <c r="X402" s="12">
        <v>115150</v>
      </c>
      <c r="Y402" s="12">
        <v>114960</v>
      </c>
      <c r="Z402" s="12">
        <v>114960</v>
      </c>
      <c r="AA402" s="12">
        <v>110860</v>
      </c>
      <c r="AB402" s="12">
        <v>110950</v>
      </c>
      <c r="AC402" s="12">
        <v>110850</v>
      </c>
      <c r="AD402" s="12">
        <v>110860</v>
      </c>
      <c r="AE402" s="11">
        <v>111320</v>
      </c>
      <c r="AF402" s="11">
        <v>111380</v>
      </c>
      <c r="AG402" s="11">
        <v>111300</v>
      </c>
      <c r="AH402" s="11">
        <v>111380</v>
      </c>
    </row>
    <row r="403" spans="19:34" x14ac:dyDescent="0.25">
      <c r="S403" s="12">
        <v>108100</v>
      </c>
      <c r="T403" s="12">
        <v>108120</v>
      </c>
      <c r="U403" s="12">
        <v>108100</v>
      </c>
      <c r="V403" s="12">
        <v>108120</v>
      </c>
      <c r="W403" s="11">
        <v>114960</v>
      </c>
      <c r="X403" s="11">
        <v>114970</v>
      </c>
      <c r="Y403" s="11">
        <v>114850</v>
      </c>
      <c r="Z403" s="11">
        <v>114920</v>
      </c>
      <c r="AA403" s="11">
        <v>110870</v>
      </c>
      <c r="AB403" s="11">
        <v>111000</v>
      </c>
      <c r="AC403" s="11">
        <v>110860</v>
      </c>
      <c r="AD403" s="11">
        <v>110920</v>
      </c>
      <c r="AE403" s="12">
        <v>111380</v>
      </c>
      <c r="AF403" s="12">
        <v>111380</v>
      </c>
      <c r="AG403" s="12">
        <v>111300</v>
      </c>
      <c r="AH403" s="12">
        <v>111300</v>
      </c>
    </row>
    <row r="404" spans="19:34" x14ac:dyDescent="0.25">
      <c r="S404" s="11">
        <v>108120</v>
      </c>
      <c r="T404" s="11">
        <v>108120</v>
      </c>
      <c r="U404" s="11">
        <v>108110</v>
      </c>
      <c r="V404" s="11">
        <v>108110</v>
      </c>
      <c r="W404" s="12">
        <v>114930</v>
      </c>
      <c r="X404" s="12">
        <v>114970</v>
      </c>
      <c r="Y404" s="12">
        <v>114920</v>
      </c>
      <c r="Z404" s="12">
        <v>114950</v>
      </c>
      <c r="AA404" s="12">
        <v>110910</v>
      </c>
      <c r="AB404" s="12">
        <v>111090</v>
      </c>
      <c r="AC404" s="12">
        <v>110910</v>
      </c>
      <c r="AD404" s="12">
        <v>111020</v>
      </c>
      <c r="AE404" s="11">
        <v>111290</v>
      </c>
      <c r="AF404" s="11">
        <v>111300</v>
      </c>
      <c r="AG404" s="11">
        <v>111250</v>
      </c>
      <c r="AH404" s="11">
        <v>111280</v>
      </c>
    </row>
    <row r="405" spans="19:34" x14ac:dyDescent="0.25">
      <c r="S405" s="12">
        <v>108130</v>
      </c>
      <c r="T405" s="12">
        <v>108150</v>
      </c>
      <c r="U405" s="12">
        <v>108120</v>
      </c>
      <c r="V405" s="12">
        <v>108120</v>
      </c>
      <c r="W405" s="11">
        <v>114960</v>
      </c>
      <c r="X405" s="11">
        <v>115020</v>
      </c>
      <c r="Y405" s="11">
        <v>114940</v>
      </c>
      <c r="Z405" s="11">
        <v>114980</v>
      </c>
      <c r="AA405" s="11">
        <v>111020</v>
      </c>
      <c r="AB405" s="11">
        <v>111040</v>
      </c>
      <c r="AC405" s="11">
        <v>110970</v>
      </c>
      <c r="AD405" s="11">
        <v>110990</v>
      </c>
      <c r="AE405" s="12">
        <v>111270</v>
      </c>
      <c r="AF405" s="12">
        <v>111340</v>
      </c>
      <c r="AG405" s="12">
        <v>111260</v>
      </c>
      <c r="AH405" s="12">
        <v>111300</v>
      </c>
    </row>
    <row r="406" spans="19:34" x14ac:dyDescent="0.25">
      <c r="S406" s="11">
        <v>108100</v>
      </c>
      <c r="T406" s="11">
        <v>108100</v>
      </c>
      <c r="U406" s="11">
        <v>108100</v>
      </c>
      <c r="V406" s="11">
        <v>108100</v>
      </c>
      <c r="W406" s="12">
        <v>114980</v>
      </c>
      <c r="X406" s="12">
        <v>114990</v>
      </c>
      <c r="Y406" s="12">
        <v>114940</v>
      </c>
      <c r="Z406" s="12">
        <v>114950</v>
      </c>
      <c r="AA406" s="12">
        <v>111000</v>
      </c>
      <c r="AB406" s="12">
        <v>111070</v>
      </c>
      <c r="AC406" s="12">
        <v>111000</v>
      </c>
      <c r="AD406" s="12">
        <v>111070</v>
      </c>
      <c r="AE406" s="11">
        <v>111290</v>
      </c>
      <c r="AF406" s="11">
        <v>111330</v>
      </c>
      <c r="AG406" s="11">
        <v>111270</v>
      </c>
      <c r="AH406" s="11">
        <v>111330</v>
      </c>
    </row>
    <row r="407" spans="19:34" x14ac:dyDescent="0.25">
      <c r="S407" s="12">
        <v>108150</v>
      </c>
      <c r="T407" s="12">
        <v>108180</v>
      </c>
      <c r="U407" s="12">
        <v>108130</v>
      </c>
      <c r="V407" s="12">
        <v>108130</v>
      </c>
      <c r="W407" s="11">
        <v>114970</v>
      </c>
      <c r="X407" s="11">
        <v>115020</v>
      </c>
      <c r="Y407" s="11">
        <v>114910</v>
      </c>
      <c r="Z407" s="11">
        <v>114960</v>
      </c>
      <c r="AA407" s="11">
        <v>111060</v>
      </c>
      <c r="AB407" s="11">
        <v>111110</v>
      </c>
      <c r="AC407" s="11">
        <v>111050</v>
      </c>
      <c r="AD407" s="11">
        <v>111080</v>
      </c>
      <c r="AE407" s="12">
        <v>111330</v>
      </c>
      <c r="AF407" s="12">
        <v>111370</v>
      </c>
      <c r="AG407" s="12">
        <v>111320</v>
      </c>
      <c r="AH407" s="12">
        <v>111360</v>
      </c>
    </row>
    <row r="408" spans="19:34" x14ac:dyDescent="0.25">
      <c r="S408" s="11">
        <v>108130</v>
      </c>
      <c r="T408" s="11">
        <v>108140</v>
      </c>
      <c r="U408" s="11">
        <v>108090</v>
      </c>
      <c r="V408" s="11">
        <v>108100</v>
      </c>
      <c r="W408" s="12">
        <v>114970</v>
      </c>
      <c r="X408" s="12">
        <v>114990</v>
      </c>
      <c r="Y408" s="12">
        <v>114880</v>
      </c>
      <c r="Z408" s="12">
        <v>114880</v>
      </c>
      <c r="AA408" s="12">
        <v>111080</v>
      </c>
      <c r="AB408" s="12">
        <v>111090</v>
      </c>
      <c r="AC408" s="12">
        <v>110990</v>
      </c>
      <c r="AD408" s="12">
        <v>110990</v>
      </c>
      <c r="AE408" s="11">
        <v>111360</v>
      </c>
      <c r="AF408" s="11">
        <v>111450</v>
      </c>
      <c r="AG408" s="11">
        <v>111360</v>
      </c>
      <c r="AH408" s="11">
        <v>111380</v>
      </c>
    </row>
    <row r="409" spans="19:34" x14ac:dyDescent="0.25">
      <c r="S409" s="12">
        <v>108130</v>
      </c>
      <c r="T409" s="12">
        <v>108140</v>
      </c>
      <c r="U409" s="12">
        <v>108130</v>
      </c>
      <c r="V409" s="12">
        <v>108140</v>
      </c>
      <c r="W409" s="11">
        <v>114880</v>
      </c>
      <c r="X409" s="11">
        <v>114930</v>
      </c>
      <c r="Y409" s="11">
        <v>114860</v>
      </c>
      <c r="Z409" s="11">
        <v>114880</v>
      </c>
      <c r="AA409" s="11">
        <v>110990</v>
      </c>
      <c r="AB409" s="11">
        <v>111050</v>
      </c>
      <c r="AC409" s="11">
        <v>110960</v>
      </c>
      <c r="AD409" s="11">
        <v>111040</v>
      </c>
      <c r="AE409" s="12">
        <v>111380</v>
      </c>
      <c r="AF409" s="12">
        <v>111430</v>
      </c>
      <c r="AG409" s="12">
        <v>111380</v>
      </c>
      <c r="AH409" s="12">
        <v>111430</v>
      </c>
    </row>
    <row r="410" spans="19:34" x14ac:dyDescent="0.25">
      <c r="S410" s="11">
        <v>108110</v>
      </c>
      <c r="T410" s="11">
        <v>108120</v>
      </c>
      <c r="U410" s="11">
        <v>108110</v>
      </c>
      <c r="V410" s="11">
        <v>108120</v>
      </c>
      <c r="W410" s="12">
        <v>114890</v>
      </c>
      <c r="X410" s="12">
        <v>114970</v>
      </c>
      <c r="Y410" s="12">
        <v>114860</v>
      </c>
      <c r="Z410" s="12">
        <v>114970</v>
      </c>
      <c r="AA410" s="12">
        <v>111020</v>
      </c>
      <c r="AB410" s="12">
        <v>111030</v>
      </c>
      <c r="AC410" s="12">
        <v>110930</v>
      </c>
      <c r="AD410" s="12">
        <v>110960</v>
      </c>
      <c r="AE410" s="11">
        <v>111420</v>
      </c>
      <c r="AF410" s="11">
        <v>111450</v>
      </c>
      <c r="AG410" s="11">
        <v>111410</v>
      </c>
      <c r="AH410" s="11">
        <v>111420</v>
      </c>
    </row>
    <row r="411" spans="19:34" x14ac:dyDescent="0.25">
      <c r="S411" s="12">
        <v>108130</v>
      </c>
      <c r="T411" s="12">
        <v>108130</v>
      </c>
      <c r="U411" s="12">
        <v>108100</v>
      </c>
      <c r="V411" s="12">
        <v>108100</v>
      </c>
      <c r="W411" s="11">
        <v>114960</v>
      </c>
      <c r="X411" s="11">
        <v>115020</v>
      </c>
      <c r="Y411" s="11">
        <v>114890</v>
      </c>
      <c r="Z411" s="11">
        <v>114910</v>
      </c>
      <c r="AA411" s="11">
        <v>110960</v>
      </c>
      <c r="AB411" s="11">
        <v>111010</v>
      </c>
      <c r="AC411" s="11">
        <v>110910</v>
      </c>
      <c r="AD411" s="11">
        <v>110940</v>
      </c>
      <c r="AE411" s="12">
        <v>111430</v>
      </c>
      <c r="AF411" s="12">
        <v>111450</v>
      </c>
      <c r="AG411" s="12">
        <v>111400</v>
      </c>
      <c r="AH411" s="12">
        <v>111410</v>
      </c>
    </row>
    <row r="412" spans="19:34" x14ac:dyDescent="0.25">
      <c r="S412" s="11">
        <v>108170</v>
      </c>
      <c r="T412" s="11">
        <v>108190</v>
      </c>
      <c r="U412" s="11">
        <v>108150</v>
      </c>
      <c r="V412" s="11">
        <v>108150</v>
      </c>
      <c r="W412" s="12">
        <v>114900</v>
      </c>
      <c r="X412" s="12">
        <v>115060</v>
      </c>
      <c r="Y412" s="12">
        <v>114890</v>
      </c>
      <c r="Z412" s="12">
        <v>115030</v>
      </c>
      <c r="AA412" s="12">
        <v>110950</v>
      </c>
      <c r="AB412" s="12">
        <v>111020</v>
      </c>
      <c r="AC412" s="12">
        <v>110950</v>
      </c>
      <c r="AD412" s="12">
        <v>111010</v>
      </c>
      <c r="AE412" s="11">
        <v>111400</v>
      </c>
      <c r="AF412" s="11">
        <v>111420</v>
      </c>
      <c r="AG412" s="11">
        <v>111380</v>
      </c>
      <c r="AH412" s="11">
        <v>111400</v>
      </c>
    </row>
    <row r="413" spans="19:34" x14ac:dyDescent="0.25">
      <c r="S413" s="12">
        <v>108170</v>
      </c>
      <c r="T413" s="12">
        <v>108210</v>
      </c>
      <c r="U413" s="12">
        <v>108130</v>
      </c>
      <c r="V413" s="12">
        <v>108160</v>
      </c>
      <c r="W413" s="11">
        <v>115030</v>
      </c>
      <c r="X413" s="11">
        <v>115160</v>
      </c>
      <c r="Y413" s="11">
        <v>115020</v>
      </c>
      <c r="Z413" s="11">
        <v>115130</v>
      </c>
      <c r="AA413" s="11">
        <v>111010</v>
      </c>
      <c r="AB413" s="11">
        <v>111040</v>
      </c>
      <c r="AC413" s="11">
        <v>110980</v>
      </c>
      <c r="AD413" s="11">
        <v>110990</v>
      </c>
      <c r="AE413" s="12">
        <v>111400</v>
      </c>
      <c r="AF413" s="12">
        <v>111530</v>
      </c>
      <c r="AG413" s="12">
        <v>111400</v>
      </c>
      <c r="AH413" s="12">
        <v>111480</v>
      </c>
    </row>
    <row r="414" spans="19:34" x14ac:dyDescent="0.25">
      <c r="S414" s="11">
        <v>108130</v>
      </c>
      <c r="T414" s="11">
        <v>108130</v>
      </c>
      <c r="U414" s="11">
        <v>108080</v>
      </c>
      <c r="V414" s="11">
        <v>108080</v>
      </c>
      <c r="W414" s="12">
        <v>115140</v>
      </c>
      <c r="X414" s="12">
        <v>115300</v>
      </c>
      <c r="Y414" s="12">
        <v>115120</v>
      </c>
      <c r="Z414" s="12">
        <v>115210</v>
      </c>
      <c r="AA414" s="12">
        <v>110990</v>
      </c>
      <c r="AB414" s="12">
        <v>111000</v>
      </c>
      <c r="AC414" s="12">
        <v>110910</v>
      </c>
      <c r="AD414" s="12">
        <v>110940</v>
      </c>
      <c r="AE414" s="11">
        <v>111470</v>
      </c>
      <c r="AF414" s="11">
        <v>111520</v>
      </c>
      <c r="AG414" s="11">
        <v>111460</v>
      </c>
      <c r="AH414" s="11">
        <v>111510</v>
      </c>
    </row>
    <row r="415" spans="19:34" x14ac:dyDescent="0.25">
      <c r="S415" s="12">
        <v>108070</v>
      </c>
      <c r="T415" s="12">
        <v>108070</v>
      </c>
      <c r="U415" s="12">
        <v>108070</v>
      </c>
      <c r="V415" s="12">
        <v>108070</v>
      </c>
      <c r="W415" s="11">
        <v>115220</v>
      </c>
      <c r="X415" s="11">
        <v>115230</v>
      </c>
      <c r="Y415" s="11">
        <v>115170</v>
      </c>
      <c r="Z415" s="11">
        <v>115210</v>
      </c>
      <c r="AA415" s="11">
        <v>110930</v>
      </c>
      <c r="AB415" s="11">
        <v>110940</v>
      </c>
      <c r="AC415" s="11">
        <v>110840</v>
      </c>
      <c r="AD415" s="11">
        <v>110850</v>
      </c>
      <c r="AE415" s="12">
        <v>111520</v>
      </c>
      <c r="AF415" s="12">
        <v>111590</v>
      </c>
      <c r="AG415" s="12">
        <v>111520</v>
      </c>
      <c r="AH415" s="12">
        <v>111540</v>
      </c>
    </row>
    <row r="416" spans="19:34" x14ac:dyDescent="0.25">
      <c r="S416" s="11">
        <v>108140</v>
      </c>
      <c r="T416" s="11">
        <v>108150</v>
      </c>
      <c r="U416" s="11">
        <v>108140</v>
      </c>
      <c r="V416" s="11">
        <v>108150</v>
      </c>
      <c r="W416" s="12">
        <v>115220</v>
      </c>
      <c r="X416" s="12">
        <v>115230</v>
      </c>
      <c r="Y416" s="12">
        <v>115170</v>
      </c>
      <c r="Z416" s="12">
        <v>115210</v>
      </c>
      <c r="AA416" s="12">
        <v>110840</v>
      </c>
      <c r="AB416" s="12">
        <v>110870</v>
      </c>
      <c r="AC416" s="12">
        <v>110660</v>
      </c>
      <c r="AD416" s="12">
        <v>110680</v>
      </c>
      <c r="AE416" s="11">
        <v>111550</v>
      </c>
      <c r="AF416" s="11">
        <v>111570</v>
      </c>
      <c r="AG416" s="11">
        <v>111510</v>
      </c>
      <c r="AH416" s="11">
        <v>111560</v>
      </c>
    </row>
    <row r="417" spans="19:34" x14ac:dyDescent="0.25">
      <c r="S417" s="12">
        <v>108110</v>
      </c>
      <c r="T417" s="12">
        <v>108110</v>
      </c>
      <c r="U417" s="12">
        <v>108110</v>
      </c>
      <c r="V417" s="12">
        <v>108110</v>
      </c>
      <c r="W417" s="11">
        <v>115200</v>
      </c>
      <c r="X417" s="11">
        <v>115350</v>
      </c>
      <c r="Y417" s="11">
        <v>115190</v>
      </c>
      <c r="Z417" s="11">
        <v>115290</v>
      </c>
      <c r="AA417" s="11">
        <v>110660</v>
      </c>
      <c r="AB417" s="11">
        <v>110890</v>
      </c>
      <c r="AC417" s="11">
        <v>110660</v>
      </c>
      <c r="AD417" s="11">
        <v>110780</v>
      </c>
      <c r="AE417" s="12">
        <v>111550</v>
      </c>
      <c r="AF417" s="12">
        <v>111580</v>
      </c>
      <c r="AG417" s="12">
        <v>111480</v>
      </c>
      <c r="AH417" s="12">
        <v>111480</v>
      </c>
    </row>
    <row r="418" spans="19:34" x14ac:dyDescent="0.25">
      <c r="S418" s="11">
        <v>108100</v>
      </c>
      <c r="T418" s="11">
        <v>108100</v>
      </c>
      <c r="U418" s="11">
        <v>108100</v>
      </c>
      <c r="V418" s="11">
        <v>108100</v>
      </c>
      <c r="W418" s="12">
        <v>115290</v>
      </c>
      <c r="X418" s="12">
        <v>115430</v>
      </c>
      <c r="Y418" s="12">
        <v>115250</v>
      </c>
      <c r="Z418" s="12">
        <v>115380</v>
      </c>
      <c r="AA418" s="12">
        <v>110790</v>
      </c>
      <c r="AB418" s="12">
        <v>110810</v>
      </c>
      <c r="AC418" s="12">
        <v>110710</v>
      </c>
      <c r="AD418" s="12">
        <v>110710</v>
      </c>
      <c r="AE418" s="11">
        <v>111480</v>
      </c>
      <c r="AF418" s="11">
        <v>111510</v>
      </c>
      <c r="AG418" s="11">
        <v>111430</v>
      </c>
      <c r="AH418" s="11">
        <v>111450</v>
      </c>
    </row>
    <row r="419" spans="19:34" x14ac:dyDescent="0.25">
      <c r="S419" s="12">
        <v>108050</v>
      </c>
      <c r="T419" s="12">
        <v>108080</v>
      </c>
      <c r="U419" s="12">
        <v>108050</v>
      </c>
      <c r="V419" s="12">
        <v>108060</v>
      </c>
      <c r="W419" s="11">
        <v>115370</v>
      </c>
      <c r="X419" s="11">
        <v>115440</v>
      </c>
      <c r="Y419" s="11">
        <v>115340</v>
      </c>
      <c r="Z419" s="11">
        <v>115340</v>
      </c>
      <c r="AA419" s="11">
        <v>110700</v>
      </c>
      <c r="AB419" s="11">
        <v>110760</v>
      </c>
      <c r="AC419" s="11">
        <v>110700</v>
      </c>
      <c r="AD419" s="11">
        <v>110750</v>
      </c>
      <c r="AE419" s="12">
        <v>111470</v>
      </c>
      <c r="AF419" s="12">
        <v>111470</v>
      </c>
      <c r="AG419" s="12">
        <v>111410</v>
      </c>
      <c r="AH419" s="12">
        <v>111410</v>
      </c>
    </row>
    <row r="420" spans="19:34" x14ac:dyDescent="0.25">
      <c r="S420" s="11">
        <v>108100</v>
      </c>
      <c r="T420" s="11">
        <v>108130</v>
      </c>
      <c r="U420" s="11">
        <v>108100</v>
      </c>
      <c r="V420" s="11">
        <v>108120</v>
      </c>
      <c r="W420" s="12">
        <v>115340</v>
      </c>
      <c r="X420" s="12">
        <v>115560</v>
      </c>
      <c r="Y420" s="12">
        <v>115340</v>
      </c>
      <c r="Z420" s="12">
        <v>115470</v>
      </c>
      <c r="AA420" s="12">
        <v>110760</v>
      </c>
      <c r="AB420" s="12">
        <v>110810</v>
      </c>
      <c r="AC420" s="12">
        <v>110720</v>
      </c>
      <c r="AD420" s="12">
        <v>110730</v>
      </c>
      <c r="AE420" s="11">
        <v>111410</v>
      </c>
      <c r="AF420" s="11">
        <v>111440</v>
      </c>
      <c r="AG420" s="11">
        <v>111400</v>
      </c>
      <c r="AH420" s="11">
        <v>111410</v>
      </c>
    </row>
    <row r="421" spans="19:34" x14ac:dyDescent="0.25">
      <c r="S421" s="12">
        <v>108150</v>
      </c>
      <c r="T421" s="12">
        <v>108150</v>
      </c>
      <c r="U421" s="12">
        <v>108140</v>
      </c>
      <c r="V421" s="12">
        <v>108140</v>
      </c>
      <c r="W421" s="11">
        <v>115470</v>
      </c>
      <c r="X421" s="11">
        <v>115570</v>
      </c>
      <c r="Y421" s="11">
        <v>115470</v>
      </c>
      <c r="Z421" s="11">
        <v>115500</v>
      </c>
      <c r="AA421" s="11">
        <v>110720</v>
      </c>
      <c r="AB421" s="11">
        <v>110800</v>
      </c>
      <c r="AC421" s="11">
        <v>110690</v>
      </c>
      <c r="AD421" s="11">
        <v>110800</v>
      </c>
      <c r="AE421" s="12">
        <v>111410</v>
      </c>
      <c r="AF421" s="12">
        <v>111440</v>
      </c>
      <c r="AG421" s="12">
        <v>111360</v>
      </c>
      <c r="AH421" s="12">
        <v>111400</v>
      </c>
    </row>
    <row r="422" spans="19:34" x14ac:dyDescent="0.25">
      <c r="S422" s="11">
        <v>108160</v>
      </c>
      <c r="T422" s="11">
        <v>108160</v>
      </c>
      <c r="U422" s="11">
        <v>108160</v>
      </c>
      <c r="V422" s="11">
        <v>108160</v>
      </c>
      <c r="W422" s="12">
        <v>115520</v>
      </c>
      <c r="X422" s="12">
        <v>115750</v>
      </c>
      <c r="Y422" s="12">
        <v>115490</v>
      </c>
      <c r="Z422" s="12">
        <v>115690</v>
      </c>
      <c r="AA422" s="12">
        <v>110790</v>
      </c>
      <c r="AB422" s="12">
        <v>110810</v>
      </c>
      <c r="AC422" s="12">
        <v>110760</v>
      </c>
      <c r="AD422" s="12">
        <v>110780</v>
      </c>
      <c r="AE422" s="11">
        <v>111400</v>
      </c>
      <c r="AF422" s="11">
        <v>111430</v>
      </c>
      <c r="AG422" s="11">
        <v>111370</v>
      </c>
      <c r="AH422" s="11">
        <v>111390</v>
      </c>
    </row>
    <row r="423" spans="19:34" x14ac:dyDescent="0.25">
      <c r="S423" s="12">
        <v>108130</v>
      </c>
      <c r="T423" s="12">
        <v>108130</v>
      </c>
      <c r="U423" s="12">
        <v>108130</v>
      </c>
      <c r="V423" s="12">
        <v>108130</v>
      </c>
      <c r="W423" s="11">
        <v>115690</v>
      </c>
      <c r="X423" s="11">
        <v>115740</v>
      </c>
      <c r="Y423" s="11">
        <v>115570</v>
      </c>
      <c r="Z423" s="11">
        <v>115590</v>
      </c>
      <c r="AA423" s="11">
        <v>110790</v>
      </c>
      <c r="AB423" s="11">
        <v>110820</v>
      </c>
      <c r="AC423" s="11">
        <v>110760</v>
      </c>
      <c r="AD423" s="11">
        <v>110800</v>
      </c>
      <c r="AE423" s="12">
        <v>111390</v>
      </c>
      <c r="AF423" s="12">
        <v>111400</v>
      </c>
      <c r="AG423" s="12">
        <v>111330</v>
      </c>
      <c r="AH423" s="12">
        <v>111350</v>
      </c>
    </row>
    <row r="424" spans="19:34" x14ac:dyDescent="0.25">
      <c r="S424" s="11">
        <v>108100</v>
      </c>
      <c r="T424" s="11">
        <v>108130</v>
      </c>
      <c r="U424" s="11">
        <v>108100</v>
      </c>
      <c r="V424" s="11">
        <v>108130</v>
      </c>
      <c r="W424" s="12">
        <v>115590</v>
      </c>
      <c r="X424" s="12">
        <v>115650</v>
      </c>
      <c r="Y424" s="12">
        <v>115570</v>
      </c>
      <c r="Z424" s="12">
        <v>115640</v>
      </c>
      <c r="AA424" s="12">
        <v>110800</v>
      </c>
      <c r="AB424" s="12">
        <v>110800</v>
      </c>
      <c r="AC424" s="12">
        <v>110750</v>
      </c>
      <c r="AD424" s="12">
        <v>110760</v>
      </c>
      <c r="AE424" s="11">
        <v>111350</v>
      </c>
      <c r="AF424" s="11">
        <v>111410</v>
      </c>
      <c r="AG424" s="11">
        <v>111350</v>
      </c>
      <c r="AH424" s="11">
        <v>111380</v>
      </c>
    </row>
    <row r="425" spans="19:34" x14ac:dyDescent="0.25">
      <c r="S425" s="12">
        <v>108130</v>
      </c>
      <c r="T425" s="12">
        <v>108130</v>
      </c>
      <c r="U425" s="12">
        <v>108130</v>
      </c>
      <c r="V425" s="12">
        <v>108130</v>
      </c>
      <c r="W425" s="11">
        <v>115640</v>
      </c>
      <c r="X425" s="11">
        <v>115700</v>
      </c>
      <c r="Y425" s="11">
        <v>115620</v>
      </c>
      <c r="Z425" s="11">
        <v>115660</v>
      </c>
      <c r="AA425" s="11">
        <v>110750</v>
      </c>
      <c r="AB425" s="11">
        <v>110800</v>
      </c>
      <c r="AC425" s="11">
        <v>110720</v>
      </c>
      <c r="AD425" s="11">
        <v>110790</v>
      </c>
      <c r="AE425" s="12">
        <v>111370</v>
      </c>
      <c r="AF425" s="12">
        <v>111400</v>
      </c>
      <c r="AG425" s="12">
        <v>111360</v>
      </c>
      <c r="AH425" s="12">
        <v>111400</v>
      </c>
    </row>
    <row r="426" spans="19:34" x14ac:dyDescent="0.25">
      <c r="S426" s="11">
        <v>108190</v>
      </c>
      <c r="T426" s="11">
        <v>108190</v>
      </c>
      <c r="U426" s="11">
        <v>108190</v>
      </c>
      <c r="V426" s="11">
        <v>108190</v>
      </c>
      <c r="W426" s="12">
        <v>115660</v>
      </c>
      <c r="X426" s="12">
        <v>115700</v>
      </c>
      <c r="Y426" s="12">
        <v>115580</v>
      </c>
      <c r="Z426" s="12">
        <v>115610</v>
      </c>
      <c r="AA426" s="12">
        <v>110790</v>
      </c>
      <c r="AB426" s="12">
        <v>110800</v>
      </c>
      <c r="AC426" s="12">
        <v>110770</v>
      </c>
      <c r="AD426" s="12">
        <v>110790</v>
      </c>
      <c r="AE426" s="11">
        <v>111400</v>
      </c>
      <c r="AF426" s="11">
        <v>111420</v>
      </c>
      <c r="AG426" s="11">
        <v>111370</v>
      </c>
      <c r="AH426" s="11">
        <v>111390</v>
      </c>
    </row>
    <row r="427" spans="19:34" x14ac:dyDescent="0.25">
      <c r="S427" s="12">
        <v>108170</v>
      </c>
      <c r="T427" s="12">
        <v>108170</v>
      </c>
      <c r="U427" s="12">
        <v>108160</v>
      </c>
      <c r="V427" s="12">
        <v>108160</v>
      </c>
      <c r="W427" s="11">
        <v>115620</v>
      </c>
      <c r="X427" s="11">
        <v>115660</v>
      </c>
      <c r="Y427" s="11">
        <v>115610</v>
      </c>
      <c r="Z427" s="11">
        <v>115630</v>
      </c>
      <c r="AA427" s="11">
        <v>110790</v>
      </c>
      <c r="AB427" s="11">
        <v>110860</v>
      </c>
      <c r="AC427" s="11">
        <v>110730</v>
      </c>
      <c r="AD427" s="11">
        <v>110860</v>
      </c>
      <c r="AE427" s="12">
        <v>111390</v>
      </c>
      <c r="AF427" s="12">
        <v>111430</v>
      </c>
      <c r="AG427" s="12">
        <v>111390</v>
      </c>
      <c r="AH427" s="12">
        <v>111420</v>
      </c>
    </row>
    <row r="428" spans="19:34" x14ac:dyDescent="0.25">
      <c r="S428" s="11">
        <v>108190</v>
      </c>
      <c r="T428" s="11">
        <v>108230</v>
      </c>
      <c r="U428" s="11">
        <v>108190</v>
      </c>
      <c r="V428" s="11">
        <v>108230</v>
      </c>
      <c r="W428" s="12">
        <v>115620</v>
      </c>
      <c r="X428" s="12">
        <v>115650</v>
      </c>
      <c r="Y428" s="12">
        <v>115560</v>
      </c>
      <c r="Z428" s="12">
        <v>115560</v>
      </c>
      <c r="AA428" s="12">
        <v>110850</v>
      </c>
      <c r="AB428" s="12">
        <v>110860</v>
      </c>
      <c r="AC428" s="12">
        <v>110820</v>
      </c>
      <c r="AD428" s="12">
        <v>110850</v>
      </c>
      <c r="AE428" s="11">
        <v>111420</v>
      </c>
      <c r="AF428" s="11">
        <v>111420</v>
      </c>
      <c r="AG428" s="11">
        <v>111390</v>
      </c>
      <c r="AH428" s="11">
        <v>111410</v>
      </c>
    </row>
    <row r="429" spans="19:34" x14ac:dyDescent="0.25">
      <c r="S429" s="12">
        <v>108210</v>
      </c>
      <c r="T429" s="12">
        <v>108220</v>
      </c>
      <c r="U429" s="12">
        <v>108170</v>
      </c>
      <c r="V429" s="12">
        <v>108170</v>
      </c>
      <c r="W429" s="11">
        <v>115570</v>
      </c>
      <c r="X429" s="11">
        <v>115670</v>
      </c>
      <c r="Y429" s="11">
        <v>115560</v>
      </c>
      <c r="Z429" s="11">
        <v>115670</v>
      </c>
      <c r="AA429" s="11">
        <v>110840</v>
      </c>
      <c r="AB429" s="11">
        <v>110900</v>
      </c>
      <c r="AC429" s="11">
        <v>110820</v>
      </c>
      <c r="AD429" s="11">
        <v>110890</v>
      </c>
      <c r="AE429" s="12">
        <v>111400</v>
      </c>
      <c r="AF429" s="12">
        <v>111420</v>
      </c>
      <c r="AG429" s="12">
        <v>111360</v>
      </c>
      <c r="AH429" s="12">
        <v>111380</v>
      </c>
    </row>
    <row r="430" spans="19:34" x14ac:dyDescent="0.25">
      <c r="S430" s="11">
        <v>108130</v>
      </c>
      <c r="T430" s="11">
        <v>108130</v>
      </c>
      <c r="U430" s="11">
        <v>108120</v>
      </c>
      <c r="V430" s="11">
        <v>108120</v>
      </c>
      <c r="W430" s="12">
        <v>115680</v>
      </c>
      <c r="X430" s="12">
        <v>115720</v>
      </c>
      <c r="Y430" s="12">
        <v>115580</v>
      </c>
      <c r="Z430" s="12">
        <v>115590</v>
      </c>
      <c r="AA430" s="12">
        <v>110890</v>
      </c>
      <c r="AB430" s="12">
        <v>111000</v>
      </c>
      <c r="AC430" s="12">
        <v>110880</v>
      </c>
      <c r="AD430" s="12">
        <v>110970</v>
      </c>
      <c r="AE430" s="11">
        <v>111380</v>
      </c>
      <c r="AF430" s="11">
        <v>111420</v>
      </c>
      <c r="AG430" s="11">
        <v>111380</v>
      </c>
      <c r="AH430" s="11">
        <v>111420</v>
      </c>
    </row>
    <row r="431" spans="19:34" x14ac:dyDescent="0.25">
      <c r="S431" s="12">
        <v>108150</v>
      </c>
      <c r="T431" s="12">
        <v>108150</v>
      </c>
      <c r="U431" s="12">
        <v>108150</v>
      </c>
      <c r="V431" s="12">
        <v>108150</v>
      </c>
      <c r="W431" s="11">
        <v>115590</v>
      </c>
      <c r="X431" s="11">
        <v>115640</v>
      </c>
      <c r="Y431" s="11">
        <v>115550</v>
      </c>
      <c r="Z431" s="11">
        <v>115610</v>
      </c>
      <c r="AA431" s="11">
        <v>110980</v>
      </c>
      <c r="AB431" s="11">
        <v>111100</v>
      </c>
      <c r="AC431" s="11">
        <v>110970</v>
      </c>
      <c r="AD431" s="11">
        <v>111090</v>
      </c>
      <c r="AE431" s="12">
        <v>111410</v>
      </c>
      <c r="AF431" s="12">
        <v>111420</v>
      </c>
      <c r="AG431" s="12">
        <v>111360</v>
      </c>
      <c r="AH431" s="12">
        <v>111390</v>
      </c>
    </row>
    <row r="432" spans="19:34" x14ac:dyDescent="0.25">
      <c r="S432" s="11">
        <v>108140</v>
      </c>
      <c r="T432" s="11">
        <v>108140</v>
      </c>
      <c r="U432" s="11">
        <v>108110</v>
      </c>
      <c r="V432" s="11">
        <v>108110</v>
      </c>
      <c r="W432" s="12">
        <v>115620</v>
      </c>
      <c r="X432" s="12">
        <v>115710</v>
      </c>
      <c r="Y432" s="12">
        <v>115600</v>
      </c>
      <c r="Z432" s="12">
        <v>115610</v>
      </c>
      <c r="AA432" s="12">
        <v>111090</v>
      </c>
      <c r="AB432" s="12">
        <v>111200</v>
      </c>
      <c r="AC432" s="12">
        <v>111060</v>
      </c>
      <c r="AD432" s="12">
        <v>111170</v>
      </c>
      <c r="AE432" s="11">
        <v>111390</v>
      </c>
      <c r="AF432" s="11">
        <v>111410</v>
      </c>
      <c r="AG432" s="11">
        <v>111360</v>
      </c>
      <c r="AH432" s="11">
        <v>111400</v>
      </c>
    </row>
    <row r="433" spans="19:34" x14ac:dyDescent="0.25">
      <c r="S433" s="12">
        <v>108140</v>
      </c>
      <c r="T433" s="12">
        <v>108140</v>
      </c>
      <c r="U433" s="12">
        <v>108140</v>
      </c>
      <c r="V433" s="12">
        <v>108140</v>
      </c>
      <c r="W433" s="11">
        <v>115620</v>
      </c>
      <c r="X433" s="11">
        <v>115680</v>
      </c>
      <c r="Y433" s="11">
        <v>115580</v>
      </c>
      <c r="Z433" s="11">
        <v>115580</v>
      </c>
      <c r="AA433" s="11">
        <v>111170</v>
      </c>
      <c r="AB433" s="11">
        <v>111180</v>
      </c>
      <c r="AC433" s="11">
        <v>111090</v>
      </c>
      <c r="AD433" s="11">
        <v>111100</v>
      </c>
      <c r="AE433" s="12">
        <v>111410</v>
      </c>
      <c r="AF433" s="12">
        <v>111430</v>
      </c>
      <c r="AG433" s="12">
        <v>111370</v>
      </c>
      <c r="AH433" s="12">
        <v>111420</v>
      </c>
    </row>
    <row r="434" spans="19:34" x14ac:dyDescent="0.25">
      <c r="S434" s="11">
        <v>108100</v>
      </c>
      <c r="T434" s="11">
        <v>108100</v>
      </c>
      <c r="U434" s="11">
        <v>108100</v>
      </c>
      <c r="V434" s="11">
        <v>108100</v>
      </c>
      <c r="W434" s="12">
        <v>115580</v>
      </c>
      <c r="X434" s="12">
        <v>115640</v>
      </c>
      <c r="Y434" s="12">
        <v>115580</v>
      </c>
      <c r="Z434" s="12">
        <v>115640</v>
      </c>
      <c r="AA434" s="12">
        <v>111110</v>
      </c>
      <c r="AB434" s="12">
        <v>111210</v>
      </c>
      <c r="AC434" s="12">
        <v>111110</v>
      </c>
      <c r="AD434" s="12">
        <v>111180</v>
      </c>
      <c r="AE434" s="11">
        <v>111410</v>
      </c>
      <c r="AF434" s="11">
        <v>111450</v>
      </c>
      <c r="AG434" s="11">
        <v>111370</v>
      </c>
      <c r="AH434" s="11">
        <v>111400</v>
      </c>
    </row>
    <row r="435" spans="19:34" x14ac:dyDescent="0.25">
      <c r="S435" s="12">
        <v>108130</v>
      </c>
      <c r="T435" s="12">
        <v>108200</v>
      </c>
      <c r="U435" s="12">
        <v>108130</v>
      </c>
      <c r="V435" s="12">
        <v>108200</v>
      </c>
      <c r="W435" s="11">
        <v>115640</v>
      </c>
      <c r="X435" s="11">
        <v>115660</v>
      </c>
      <c r="Y435" s="11">
        <v>115540</v>
      </c>
      <c r="Z435" s="11">
        <v>115590</v>
      </c>
      <c r="AA435" s="11">
        <v>111180</v>
      </c>
      <c r="AB435" s="11">
        <v>111200</v>
      </c>
      <c r="AC435" s="11">
        <v>111160</v>
      </c>
      <c r="AD435" s="11">
        <v>111160</v>
      </c>
      <c r="AE435" s="12">
        <v>111400</v>
      </c>
      <c r="AF435" s="12">
        <v>111440</v>
      </c>
      <c r="AG435" s="12">
        <v>111390</v>
      </c>
      <c r="AH435" s="12">
        <v>111420</v>
      </c>
    </row>
    <row r="436" spans="19:34" x14ac:dyDescent="0.25">
      <c r="S436" s="11">
        <v>108240</v>
      </c>
      <c r="T436" s="11">
        <v>108250</v>
      </c>
      <c r="U436" s="11">
        <v>108200</v>
      </c>
      <c r="V436" s="11">
        <v>108200</v>
      </c>
      <c r="W436" s="12">
        <v>115590</v>
      </c>
      <c r="X436" s="12">
        <v>115650</v>
      </c>
      <c r="Y436" s="12">
        <v>115570</v>
      </c>
      <c r="Z436" s="12">
        <v>115620</v>
      </c>
      <c r="AA436" s="12">
        <v>111160</v>
      </c>
      <c r="AB436" s="12">
        <v>111190</v>
      </c>
      <c r="AC436" s="12">
        <v>111090</v>
      </c>
      <c r="AD436" s="12">
        <v>111170</v>
      </c>
      <c r="AE436" s="11">
        <v>111420</v>
      </c>
      <c r="AF436" s="11">
        <v>111520</v>
      </c>
      <c r="AG436" s="11">
        <v>111410</v>
      </c>
      <c r="AH436" s="11">
        <v>111480</v>
      </c>
    </row>
    <row r="437" spans="19:34" x14ac:dyDescent="0.25">
      <c r="S437" s="12">
        <v>108260</v>
      </c>
      <c r="T437" s="12">
        <v>108350</v>
      </c>
      <c r="U437" s="12">
        <v>108260</v>
      </c>
      <c r="V437" s="12">
        <v>108300</v>
      </c>
      <c r="W437" s="11">
        <v>115620</v>
      </c>
      <c r="X437" s="11">
        <v>115690</v>
      </c>
      <c r="Y437" s="11">
        <v>115620</v>
      </c>
      <c r="Z437" s="11">
        <v>115670</v>
      </c>
      <c r="AA437" s="11">
        <v>111180</v>
      </c>
      <c r="AB437" s="11">
        <v>111210</v>
      </c>
      <c r="AC437" s="11">
        <v>111150</v>
      </c>
      <c r="AD437" s="11">
        <v>111160</v>
      </c>
      <c r="AE437" s="12">
        <v>111470</v>
      </c>
      <c r="AF437" s="12">
        <v>111520</v>
      </c>
      <c r="AG437" s="12">
        <v>111470</v>
      </c>
      <c r="AH437" s="12">
        <v>111520</v>
      </c>
    </row>
    <row r="438" spans="19:34" x14ac:dyDescent="0.25">
      <c r="S438" s="11">
        <v>108280</v>
      </c>
      <c r="T438" s="11">
        <v>108310</v>
      </c>
      <c r="U438" s="11">
        <v>108280</v>
      </c>
      <c r="V438" s="11">
        <v>108300</v>
      </c>
      <c r="W438" s="12">
        <v>115670</v>
      </c>
      <c r="X438" s="12">
        <v>115690</v>
      </c>
      <c r="Y438" s="12">
        <v>115640</v>
      </c>
      <c r="Z438" s="12">
        <v>115660</v>
      </c>
      <c r="AA438" s="12">
        <v>111170</v>
      </c>
      <c r="AB438" s="12">
        <v>111290</v>
      </c>
      <c r="AC438" s="12">
        <v>111160</v>
      </c>
      <c r="AD438" s="12">
        <v>111270</v>
      </c>
      <c r="AE438" s="11">
        <v>111530</v>
      </c>
      <c r="AF438" s="11">
        <v>111570</v>
      </c>
      <c r="AG438" s="11">
        <v>111500</v>
      </c>
      <c r="AH438" s="11">
        <v>111520</v>
      </c>
    </row>
    <row r="439" spans="19:34" x14ac:dyDescent="0.25">
      <c r="S439" s="12">
        <v>108280</v>
      </c>
      <c r="T439" s="12">
        <v>108320</v>
      </c>
      <c r="U439" s="12">
        <v>108280</v>
      </c>
      <c r="V439" s="12">
        <v>108310</v>
      </c>
      <c r="W439" s="11">
        <v>115670</v>
      </c>
      <c r="X439" s="11">
        <v>115780</v>
      </c>
      <c r="Y439" s="11">
        <v>115600</v>
      </c>
      <c r="Z439" s="11">
        <v>115710</v>
      </c>
      <c r="AA439" s="11">
        <v>111260</v>
      </c>
      <c r="AB439" s="11">
        <v>111310</v>
      </c>
      <c r="AC439" s="11">
        <v>111250</v>
      </c>
      <c r="AD439" s="11">
        <v>111300</v>
      </c>
      <c r="AE439" s="12">
        <v>111530</v>
      </c>
      <c r="AF439" s="12">
        <v>111550</v>
      </c>
      <c r="AG439" s="12">
        <v>111480</v>
      </c>
      <c r="AH439" s="12">
        <v>111520</v>
      </c>
    </row>
    <row r="440" spans="19:34" x14ac:dyDescent="0.25">
      <c r="S440" s="11">
        <v>108310</v>
      </c>
      <c r="T440" s="11">
        <v>108330</v>
      </c>
      <c r="U440" s="11">
        <v>108310</v>
      </c>
      <c r="V440" s="11">
        <v>108330</v>
      </c>
      <c r="W440" s="12">
        <v>115720</v>
      </c>
      <c r="X440" s="12">
        <v>115750</v>
      </c>
      <c r="Y440" s="12">
        <v>115650</v>
      </c>
      <c r="Z440" s="12">
        <v>115740</v>
      </c>
      <c r="AA440" s="12">
        <v>111280</v>
      </c>
      <c r="AB440" s="12">
        <v>111320</v>
      </c>
      <c r="AC440" s="12">
        <v>111240</v>
      </c>
      <c r="AD440" s="12">
        <v>111250</v>
      </c>
      <c r="AE440" s="11">
        <v>111520</v>
      </c>
      <c r="AF440" s="11">
        <v>111530</v>
      </c>
      <c r="AG440" s="11">
        <v>111460</v>
      </c>
      <c r="AH440" s="11">
        <v>111490</v>
      </c>
    </row>
    <row r="441" spans="19:34" x14ac:dyDescent="0.25">
      <c r="S441" s="12">
        <v>108340</v>
      </c>
      <c r="T441" s="12">
        <v>108380</v>
      </c>
      <c r="U441" s="12">
        <v>108320</v>
      </c>
      <c r="V441" s="12">
        <v>108340</v>
      </c>
      <c r="W441" s="11">
        <v>115740</v>
      </c>
      <c r="X441" s="11">
        <v>115780</v>
      </c>
      <c r="Y441" s="11">
        <v>115730</v>
      </c>
      <c r="Z441" s="11">
        <v>115770</v>
      </c>
      <c r="AA441" s="11">
        <v>111260</v>
      </c>
      <c r="AB441" s="11">
        <v>111350</v>
      </c>
      <c r="AC441" s="11">
        <v>111240</v>
      </c>
      <c r="AD441" s="11">
        <v>111330</v>
      </c>
      <c r="AE441" s="12">
        <v>111490</v>
      </c>
      <c r="AF441" s="12">
        <v>111530</v>
      </c>
      <c r="AG441" s="12">
        <v>111480</v>
      </c>
      <c r="AH441" s="12">
        <v>111530</v>
      </c>
    </row>
    <row r="442" spans="19:34" x14ac:dyDescent="0.25">
      <c r="S442" s="11">
        <v>108350</v>
      </c>
      <c r="T442" s="11">
        <v>108350</v>
      </c>
      <c r="U442" s="11">
        <v>108310</v>
      </c>
      <c r="V442" s="11">
        <v>108310</v>
      </c>
      <c r="W442" s="12">
        <v>115770</v>
      </c>
      <c r="X442" s="12">
        <v>115810</v>
      </c>
      <c r="Y442" s="12">
        <v>115700</v>
      </c>
      <c r="Z442" s="12">
        <v>115810</v>
      </c>
      <c r="AA442" s="12">
        <v>111340</v>
      </c>
      <c r="AB442" s="12">
        <v>111390</v>
      </c>
      <c r="AC442" s="12">
        <v>111330</v>
      </c>
      <c r="AD442" s="12">
        <v>111370</v>
      </c>
      <c r="AE442" s="11">
        <v>111520</v>
      </c>
      <c r="AF442" s="11">
        <v>111540</v>
      </c>
      <c r="AG442" s="11">
        <v>111500</v>
      </c>
      <c r="AH442" s="11">
        <v>111520</v>
      </c>
    </row>
    <row r="443" spans="19:34" x14ac:dyDescent="0.25">
      <c r="S443" s="12">
        <v>108310</v>
      </c>
      <c r="T443" s="12">
        <v>108310</v>
      </c>
      <c r="U443" s="12">
        <v>108310</v>
      </c>
      <c r="V443" s="12">
        <v>108310</v>
      </c>
      <c r="W443" s="11">
        <v>115810</v>
      </c>
      <c r="X443" s="11">
        <v>115830</v>
      </c>
      <c r="Y443" s="11">
        <v>115700</v>
      </c>
      <c r="Z443" s="11">
        <v>115740</v>
      </c>
      <c r="AA443" s="11">
        <v>111370</v>
      </c>
      <c r="AB443" s="11">
        <v>111390</v>
      </c>
      <c r="AC443" s="11">
        <v>111210</v>
      </c>
      <c r="AD443" s="11">
        <v>111250</v>
      </c>
      <c r="AE443" s="12">
        <v>111520</v>
      </c>
      <c r="AF443" s="12">
        <v>111520</v>
      </c>
      <c r="AG443" s="12">
        <v>111410</v>
      </c>
      <c r="AH443" s="12">
        <v>111420</v>
      </c>
    </row>
    <row r="444" spans="19:34" x14ac:dyDescent="0.25">
      <c r="S444" s="11">
        <v>108290</v>
      </c>
      <c r="T444" s="11">
        <v>108320</v>
      </c>
      <c r="U444" s="11">
        <v>108290</v>
      </c>
      <c r="V444" s="11">
        <v>108300</v>
      </c>
      <c r="W444" s="12">
        <v>115730</v>
      </c>
      <c r="X444" s="12">
        <v>115730</v>
      </c>
      <c r="Y444" s="12">
        <v>115650</v>
      </c>
      <c r="Z444" s="12">
        <v>115690</v>
      </c>
      <c r="AA444" s="12">
        <v>111250</v>
      </c>
      <c r="AB444" s="12">
        <v>111290</v>
      </c>
      <c r="AC444" s="12">
        <v>111160</v>
      </c>
      <c r="AD444" s="12">
        <v>111200</v>
      </c>
      <c r="AE444" s="11">
        <v>111420</v>
      </c>
      <c r="AF444" s="11">
        <v>111460</v>
      </c>
      <c r="AG444" s="11">
        <v>111400</v>
      </c>
      <c r="AH444" s="11">
        <v>111440</v>
      </c>
    </row>
    <row r="445" spans="19:34" x14ac:dyDescent="0.25">
      <c r="S445" s="12">
        <v>108320</v>
      </c>
      <c r="T445" s="12">
        <v>108320</v>
      </c>
      <c r="U445" s="12">
        <v>108320</v>
      </c>
      <c r="V445" s="12">
        <v>108320</v>
      </c>
      <c r="W445" s="11">
        <v>115670</v>
      </c>
      <c r="X445" s="11">
        <v>115760</v>
      </c>
      <c r="Y445" s="11">
        <v>115660</v>
      </c>
      <c r="Z445" s="11">
        <v>115710</v>
      </c>
      <c r="AA445" s="11">
        <v>111200</v>
      </c>
      <c r="AB445" s="11">
        <v>111240</v>
      </c>
      <c r="AC445" s="11">
        <v>111190</v>
      </c>
      <c r="AD445" s="11">
        <v>111230</v>
      </c>
      <c r="AE445" s="12">
        <v>111450</v>
      </c>
      <c r="AF445" s="12">
        <v>111450</v>
      </c>
      <c r="AG445" s="12">
        <v>111400</v>
      </c>
      <c r="AH445" s="12">
        <v>111430</v>
      </c>
    </row>
    <row r="446" spans="19:34" x14ac:dyDescent="0.25">
      <c r="S446" s="11">
        <v>108310</v>
      </c>
      <c r="T446" s="11">
        <v>108310</v>
      </c>
      <c r="U446" s="11">
        <v>108310</v>
      </c>
      <c r="V446" s="11">
        <v>108310</v>
      </c>
      <c r="W446" s="12">
        <v>115710</v>
      </c>
      <c r="X446" s="12">
        <v>115750</v>
      </c>
      <c r="Y446" s="12">
        <v>115660</v>
      </c>
      <c r="Z446" s="12">
        <v>115670</v>
      </c>
      <c r="AA446" s="12">
        <v>111220</v>
      </c>
      <c r="AB446" s="12">
        <v>111240</v>
      </c>
      <c r="AC446" s="12">
        <v>111190</v>
      </c>
      <c r="AD446" s="12">
        <v>111230</v>
      </c>
      <c r="AE446" s="11">
        <v>111430</v>
      </c>
      <c r="AF446" s="11">
        <v>111430</v>
      </c>
      <c r="AG446" s="11">
        <v>111350</v>
      </c>
      <c r="AH446" s="11">
        <v>111360</v>
      </c>
    </row>
    <row r="447" spans="19:34" x14ac:dyDescent="0.25">
      <c r="S447" s="12">
        <v>108300</v>
      </c>
      <c r="T447" s="12">
        <v>108300</v>
      </c>
      <c r="U447" s="12">
        <v>108300</v>
      </c>
      <c r="V447" s="12">
        <v>108300</v>
      </c>
      <c r="W447" s="11">
        <v>115680</v>
      </c>
      <c r="X447" s="11">
        <v>115690</v>
      </c>
      <c r="Y447" s="11">
        <v>115640</v>
      </c>
      <c r="Z447" s="11">
        <v>115680</v>
      </c>
      <c r="AA447" s="11">
        <v>111230</v>
      </c>
      <c r="AB447" s="11">
        <v>111290</v>
      </c>
      <c r="AC447" s="11">
        <v>111170</v>
      </c>
      <c r="AD447" s="11">
        <v>111200</v>
      </c>
      <c r="AE447" s="12">
        <v>111370</v>
      </c>
      <c r="AF447" s="12">
        <v>111440</v>
      </c>
      <c r="AG447" s="12">
        <v>111310</v>
      </c>
      <c r="AH447" s="12">
        <v>111380</v>
      </c>
    </row>
    <row r="448" spans="19:34" x14ac:dyDescent="0.25">
      <c r="S448" s="11">
        <v>108300</v>
      </c>
      <c r="T448" s="11">
        <v>108320</v>
      </c>
      <c r="U448" s="11">
        <v>108270</v>
      </c>
      <c r="V448" s="11">
        <v>108270</v>
      </c>
      <c r="W448" s="12">
        <v>115680</v>
      </c>
      <c r="X448" s="12">
        <v>115720</v>
      </c>
      <c r="Y448" s="12">
        <v>115660</v>
      </c>
      <c r="Z448" s="12">
        <v>115700</v>
      </c>
      <c r="AA448" s="12">
        <v>111210</v>
      </c>
      <c r="AB448" s="12">
        <v>111320</v>
      </c>
      <c r="AC448" s="12">
        <v>111190</v>
      </c>
      <c r="AD448" s="12">
        <v>111290</v>
      </c>
      <c r="AE448" s="11">
        <v>111380</v>
      </c>
      <c r="AF448" s="11">
        <v>111400</v>
      </c>
      <c r="AG448" s="11">
        <v>111310</v>
      </c>
      <c r="AH448" s="11">
        <v>111350</v>
      </c>
    </row>
    <row r="449" spans="19:34" x14ac:dyDescent="0.25">
      <c r="S449" s="12">
        <v>108310</v>
      </c>
      <c r="T449" s="12">
        <v>108340</v>
      </c>
      <c r="U449" s="12">
        <v>108310</v>
      </c>
      <c r="V449" s="12">
        <v>108340</v>
      </c>
      <c r="W449" s="11">
        <v>115690</v>
      </c>
      <c r="X449" s="11">
        <v>115750</v>
      </c>
      <c r="Y449" s="11">
        <v>115680</v>
      </c>
      <c r="Z449" s="11">
        <v>115750</v>
      </c>
      <c r="AA449" s="11">
        <v>111300</v>
      </c>
      <c r="AB449" s="11">
        <v>111360</v>
      </c>
      <c r="AC449" s="11">
        <v>111260</v>
      </c>
      <c r="AD449" s="11">
        <v>111270</v>
      </c>
      <c r="AE449" s="12">
        <v>111350</v>
      </c>
      <c r="AF449" s="12">
        <v>111370</v>
      </c>
      <c r="AG449" s="12">
        <v>111280</v>
      </c>
      <c r="AH449" s="12">
        <v>111290</v>
      </c>
    </row>
    <row r="450" spans="19:34" x14ac:dyDescent="0.25">
      <c r="S450" s="11">
        <v>108360</v>
      </c>
      <c r="T450" s="11">
        <v>108370</v>
      </c>
      <c r="U450" s="11">
        <v>108360</v>
      </c>
      <c r="V450" s="11">
        <v>108370</v>
      </c>
      <c r="W450" s="12">
        <v>115740</v>
      </c>
      <c r="X450" s="12">
        <v>115770</v>
      </c>
      <c r="Y450" s="12">
        <v>115640</v>
      </c>
      <c r="Z450" s="12">
        <v>115680</v>
      </c>
      <c r="AA450" s="12">
        <v>111270</v>
      </c>
      <c r="AB450" s="12">
        <v>111330</v>
      </c>
      <c r="AC450" s="12">
        <v>111230</v>
      </c>
      <c r="AD450" s="12">
        <v>111230</v>
      </c>
      <c r="AE450" s="11">
        <v>111290</v>
      </c>
      <c r="AF450" s="11">
        <v>111350</v>
      </c>
      <c r="AG450" s="11">
        <v>111170</v>
      </c>
      <c r="AH450" s="11">
        <v>111240</v>
      </c>
    </row>
    <row r="451" spans="19:34" x14ac:dyDescent="0.25">
      <c r="S451" s="12">
        <v>108380</v>
      </c>
      <c r="T451" s="12">
        <v>108390</v>
      </c>
      <c r="U451" s="12">
        <v>108360</v>
      </c>
      <c r="V451" s="12">
        <v>108390</v>
      </c>
      <c r="W451" s="11">
        <v>115680</v>
      </c>
      <c r="X451" s="11">
        <v>115690</v>
      </c>
      <c r="Y451" s="11">
        <v>115630</v>
      </c>
      <c r="Z451" s="11">
        <v>115660</v>
      </c>
      <c r="AA451" s="11">
        <v>111230</v>
      </c>
      <c r="AB451" s="11">
        <v>111300</v>
      </c>
      <c r="AC451" s="11">
        <v>111200</v>
      </c>
      <c r="AD451" s="11">
        <v>111260</v>
      </c>
      <c r="AE451" s="12">
        <v>111240</v>
      </c>
      <c r="AF451" s="12">
        <v>111240</v>
      </c>
      <c r="AG451" s="12">
        <v>110900</v>
      </c>
      <c r="AH451" s="12">
        <v>110910</v>
      </c>
    </row>
    <row r="452" spans="19:34" x14ac:dyDescent="0.25">
      <c r="S452" s="11">
        <v>108400</v>
      </c>
      <c r="T452" s="11">
        <v>108400</v>
      </c>
      <c r="U452" s="11">
        <v>108400</v>
      </c>
      <c r="V452" s="11">
        <v>108400</v>
      </c>
      <c r="W452" s="12">
        <v>115670</v>
      </c>
      <c r="X452" s="12">
        <v>115750</v>
      </c>
      <c r="Y452" s="12">
        <v>115670</v>
      </c>
      <c r="Z452" s="12">
        <v>115690</v>
      </c>
      <c r="AA452" s="12">
        <v>111260</v>
      </c>
      <c r="AB452" s="12">
        <v>111320</v>
      </c>
      <c r="AC452" s="12">
        <v>111240</v>
      </c>
      <c r="AD452" s="12">
        <v>111300</v>
      </c>
      <c r="AE452" s="11">
        <v>110920</v>
      </c>
      <c r="AF452" s="11">
        <v>110920</v>
      </c>
      <c r="AG452" s="11">
        <v>110760</v>
      </c>
      <c r="AH452" s="11">
        <v>110830</v>
      </c>
    </row>
    <row r="453" spans="19:34" x14ac:dyDescent="0.25">
      <c r="S453" s="12">
        <v>108330</v>
      </c>
      <c r="T453" s="12">
        <v>108330</v>
      </c>
      <c r="U453" s="12">
        <v>108290</v>
      </c>
      <c r="V453" s="12">
        <v>108290</v>
      </c>
      <c r="W453" s="11">
        <v>115700</v>
      </c>
      <c r="X453" s="11">
        <v>115730</v>
      </c>
      <c r="Y453" s="11">
        <v>115680</v>
      </c>
      <c r="Z453" s="11">
        <v>115710</v>
      </c>
      <c r="AA453" s="11">
        <v>111310</v>
      </c>
      <c r="AB453" s="11">
        <v>111380</v>
      </c>
      <c r="AC453" s="11">
        <v>111250</v>
      </c>
      <c r="AD453" s="11">
        <v>111260</v>
      </c>
      <c r="AE453" s="12">
        <v>110830</v>
      </c>
      <c r="AF453" s="12">
        <v>110870</v>
      </c>
      <c r="AG453" s="12">
        <v>110780</v>
      </c>
      <c r="AH453" s="12">
        <v>110840</v>
      </c>
    </row>
    <row r="454" spans="19:34" x14ac:dyDescent="0.25">
      <c r="S454" s="11">
        <v>108290</v>
      </c>
      <c r="T454" s="11">
        <v>108320</v>
      </c>
      <c r="U454" s="11">
        <v>108290</v>
      </c>
      <c r="V454" s="11">
        <v>108320</v>
      </c>
      <c r="W454" s="12">
        <v>115720</v>
      </c>
      <c r="X454" s="12">
        <v>115720</v>
      </c>
      <c r="Y454" s="12">
        <v>115680</v>
      </c>
      <c r="Z454" s="12">
        <v>115690</v>
      </c>
      <c r="AA454" s="12">
        <v>111260</v>
      </c>
      <c r="AB454" s="12">
        <v>111280</v>
      </c>
      <c r="AC454" s="12">
        <v>111190</v>
      </c>
      <c r="AD454" s="12">
        <v>111210</v>
      </c>
      <c r="AE454" s="11">
        <v>110840</v>
      </c>
      <c r="AF454" s="11">
        <v>110840</v>
      </c>
      <c r="AG454" s="11">
        <v>110740</v>
      </c>
      <c r="AH454" s="11">
        <v>110750</v>
      </c>
    </row>
    <row r="455" spans="19:34" x14ac:dyDescent="0.25">
      <c r="S455" s="12">
        <v>108350</v>
      </c>
      <c r="T455" s="12">
        <v>108370</v>
      </c>
      <c r="U455" s="12">
        <v>108350</v>
      </c>
      <c r="V455" s="12">
        <v>108370</v>
      </c>
      <c r="W455" s="11">
        <v>115690</v>
      </c>
      <c r="X455" s="11">
        <v>115750</v>
      </c>
      <c r="Y455" s="11">
        <v>115690</v>
      </c>
      <c r="Z455" s="11">
        <v>115720</v>
      </c>
      <c r="AA455" s="11">
        <v>111190</v>
      </c>
      <c r="AB455" s="11">
        <v>111210</v>
      </c>
      <c r="AC455" s="11">
        <v>111070</v>
      </c>
      <c r="AD455" s="11">
        <v>111090</v>
      </c>
      <c r="AE455" s="12">
        <v>110740</v>
      </c>
      <c r="AF455" s="12">
        <v>110980</v>
      </c>
      <c r="AG455" s="12">
        <v>110730</v>
      </c>
      <c r="AH455" s="12">
        <v>110940</v>
      </c>
    </row>
    <row r="456" spans="19:34" x14ac:dyDescent="0.25">
      <c r="S456" s="11">
        <v>108370</v>
      </c>
      <c r="T456" s="11">
        <v>108370</v>
      </c>
      <c r="U456" s="11">
        <v>108370</v>
      </c>
      <c r="V456" s="11">
        <v>108370</v>
      </c>
      <c r="W456" s="12">
        <v>115730</v>
      </c>
      <c r="X456" s="12">
        <v>115790</v>
      </c>
      <c r="Y456" s="12">
        <v>115720</v>
      </c>
      <c r="Z456" s="12">
        <v>115770</v>
      </c>
      <c r="AA456" s="12">
        <v>111100</v>
      </c>
      <c r="AB456" s="12">
        <v>111160</v>
      </c>
      <c r="AC456" s="12">
        <v>111060</v>
      </c>
      <c r="AD456" s="12">
        <v>111070</v>
      </c>
      <c r="AE456" s="11">
        <v>110960</v>
      </c>
      <c r="AF456" s="11">
        <v>111000</v>
      </c>
      <c r="AG456" s="11">
        <v>110780</v>
      </c>
      <c r="AH456" s="11">
        <v>110890</v>
      </c>
    </row>
    <row r="457" spans="19:34" x14ac:dyDescent="0.25">
      <c r="S457" s="12">
        <v>108350</v>
      </c>
      <c r="T457" s="12">
        <v>108350</v>
      </c>
      <c r="U457" s="12">
        <v>108350</v>
      </c>
      <c r="V457" s="12">
        <v>108350</v>
      </c>
      <c r="W457" s="11">
        <v>115780</v>
      </c>
      <c r="X457" s="11">
        <v>115830</v>
      </c>
      <c r="Y457" s="11">
        <v>115760</v>
      </c>
      <c r="Z457" s="11">
        <v>115820</v>
      </c>
      <c r="AA457" s="11">
        <v>111070</v>
      </c>
      <c r="AB457" s="11">
        <v>111120</v>
      </c>
      <c r="AC457" s="11">
        <v>111020</v>
      </c>
      <c r="AD457" s="11">
        <v>111090</v>
      </c>
      <c r="AE457" s="12">
        <v>110890</v>
      </c>
      <c r="AF457" s="12">
        <v>110950</v>
      </c>
      <c r="AG457" s="12">
        <v>110790</v>
      </c>
      <c r="AH457" s="12">
        <v>110940</v>
      </c>
    </row>
    <row r="458" spans="19:34" x14ac:dyDescent="0.25">
      <c r="S458" s="11">
        <v>108370</v>
      </c>
      <c r="T458" s="11">
        <v>108370</v>
      </c>
      <c r="U458" s="11">
        <v>108370</v>
      </c>
      <c r="V458" s="11">
        <v>108370</v>
      </c>
      <c r="W458" s="12">
        <v>115810</v>
      </c>
      <c r="X458" s="12">
        <v>115830</v>
      </c>
      <c r="Y458" s="12">
        <v>115780</v>
      </c>
      <c r="Z458" s="12">
        <v>115820</v>
      </c>
      <c r="AA458" s="12">
        <v>111100</v>
      </c>
      <c r="AB458" s="12">
        <v>111180</v>
      </c>
      <c r="AC458" s="12">
        <v>111100</v>
      </c>
      <c r="AD458" s="12">
        <v>111130</v>
      </c>
      <c r="AE458" s="11">
        <v>110940</v>
      </c>
      <c r="AF458" s="11">
        <v>111010</v>
      </c>
      <c r="AG458" s="11">
        <v>110930</v>
      </c>
      <c r="AH458" s="11">
        <v>111000</v>
      </c>
    </row>
    <row r="459" spans="19:34" x14ac:dyDescent="0.25">
      <c r="S459" s="12">
        <v>108360</v>
      </c>
      <c r="T459" s="12">
        <v>108460</v>
      </c>
      <c r="U459" s="12">
        <v>108360</v>
      </c>
      <c r="V459" s="12">
        <v>108440</v>
      </c>
      <c r="W459" s="11">
        <v>115820</v>
      </c>
      <c r="X459" s="11">
        <v>115910</v>
      </c>
      <c r="Y459" s="11">
        <v>115810</v>
      </c>
      <c r="Z459" s="11">
        <v>115890</v>
      </c>
      <c r="AA459" s="11">
        <v>111130</v>
      </c>
      <c r="AB459" s="11">
        <v>111250</v>
      </c>
      <c r="AC459" s="11">
        <v>111120</v>
      </c>
      <c r="AD459" s="11">
        <v>111250</v>
      </c>
      <c r="AE459" s="12">
        <v>111000</v>
      </c>
      <c r="AF459" s="12">
        <v>111050</v>
      </c>
      <c r="AG459" s="12">
        <v>110970</v>
      </c>
      <c r="AH459" s="12">
        <v>111000</v>
      </c>
    </row>
    <row r="460" spans="19:34" x14ac:dyDescent="0.25">
      <c r="S460" s="11">
        <v>108460</v>
      </c>
      <c r="T460" s="11">
        <v>108470</v>
      </c>
      <c r="U460" s="11">
        <v>108460</v>
      </c>
      <c r="V460" s="11">
        <v>108470</v>
      </c>
      <c r="W460" s="12">
        <v>115900</v>
      </c>
      <c r="X460" s="12">
        <v>115960</v>
      </c>
      <c r="Y460" s="12">
        <v>115890</v>
      </c>
      <c r="Z460" s="12">
        <v>115930</v>
      </c>
      <c r="AA460" s="12">
        <v>111240</v>
      </c>
      <c r="AB460" s="12">
        <v>111320</v>
      </c>
      <c r="AC460" s="12">
        <v>111240</v>
      </c>
      <c r="AD460" s="12">
        <v>111280</v>
      </c>
      <c r="AE460" s="11">
        <v>111000</v>
      </c>
      <c r="AF460" s="11">
        <v>111010</v>
      </c>
      <c r="AG460" s="11">
        <v>110930</v>
      </c>
      <c r="AH460" s="11">
        <v>111000</v>
      </c>
    </row>
    <row r="461" spans="19:34" x14ac:dyDescent="0.25">
      <c r="S461" s="12">
        <v>108480</v>
      </c>
      <c r="T461" s="12">
        <v>108520</v>
      </c>
      <c r="U461" s="12">
        <v>108450</v>
      </c>
      <c r="V461" s="12">
        <v>108520</v>
      </c>
      <c r="W461" s="11">
        <v>115930</v>
      </c>
      <c r="X461" s="11">
        <v>115990</v>
      </c>
      <c r="Y461" s="11">
        <v>115930</v>
      </c>
      <c r="Z461" s="11">
        <v>115930</v>
      </c>
      <c r="AA461" s="11">
        <v>111290</v>
      </c>
      <c r="AB461" s="11">
        <v>111460</v>
      </c>
      <c r="AC461" s="11">
        <v>111280</v>
      </c>
      <c r="AD461" s="11">
        <v>111450</v>
      </c>
      <c r="AE461" s="12">
        <v>111000</v>
      </c>
      <c r="AF461" s="12">
        <v>111010</v>
      </c>
      <c r="AG461" s="12">
        <v>110930</v>
      </c>
      <c r="AH461" s="12">
        <v>110990</v>
      </c>
    </row>
    <row r="462" spans="19:34" x14ac:dyDescent="0.25">
      <c r="S462" s="11">
        <v>108490</v>
      </c>
      <c r="T462" s="11">
        <v>108500</v>
      </c>
      <c r="U462" s="11">
        <v>108450</v>
      </c>
      <c r="V462" s="11">
        <v>108480</v>
      </c>
      <c r="W462" s="12">
        <v>115940</v>
      </c>
      <c r="X462" s="12">
        <v>115980</v>
      </c>
      <c r="Y462" s="12">
        <v>115940</v>
      </c>
      <c r="Z462" s="12">
        <v>115950</v>
      </c>
      <c r="AA462" s="12">
        <v>111460</v>
      </c>
      <c r="AB462" s="12">
        <v>111480</v>
      </c>
      <c r="AC462" s="12">
        <v>111380</v>
      </c>
      <c r="AD462" s="12">
        <v>111380</v>
      </c>
      <c r="AE462" s="11">
        <v>111000</v>
      </c>
      <c r="AF462" s="11">
        <v>111030</v>
      </c>
      <c r="AG462" s="11">
        <v>110910</v>
      </c>
      <c r="AH462" s="11">
        <v>110910</v>
      </c>
    </row>
    <row r="463" spans="19:34" x14ac:dyDescent="0.25">
      <c r="S463" s="12">
        <v>108460</v>
      </c>
      <c r="T463" s="12">
        <v>108470</v>
      </c>
      <c r="U463" s="12">
        <v>108450</v>
      </c>
      <c r="V463" s="12">
        <v>108460</v>
      </c>
      <c r="W463" s="11">
        <v>115950</v>
      </c>
      <c r="X463" s="11">
        <v>116030</v>
      </c>
      <c r="Y463" s="11">
        <v>115930</v>
      </c>
      <c r="Z463" s="11">
        <v>115930</v>
      </c>
      <c r="AA463" s="11">
        <v>111380</v>
      </c>
      <c r="AB463" s="11">
        <v>111380</v>
      </c>
      <c r="AC463" s="11">
        <v>111300</v>
      </c>
      <c r="AD463" s="11">
        <v>111300</v>
      </c>
      <c r="AE463" s="12">
        <v>110930</v>
      </c>
      <c r="AF463" s="12">
        <v>110950</v>
      </c>
      <c r="AG463" s="12">
        <v>110890</v>
      </c>
      <c r="AH463" s="12">
        <v>110950</v>
      </c>
    </row>
    <row r="464" spans="19:34" x14ac:dyDescent="0.25">
      <c r="S464" s="11">
        <v>108490</v>
      </c>
      <c r="T464" s="11">
        <v>108630</v>
      </c>
      <c r="U464" s="11">
        <v>108490</v>
      </c>
      <c r="V464" s="11">
        <v>108580</v>
      </c>
      <c r="W464" s="12">
        <v>115930</v>
      </c>
      <c r="X464" s="12">
        <v>115970</v>
      </c>
      <c r="Y464" s="12">
        <v>115930</v>
      </c>
      <c r="Z464" s="12">
        <v>115950</v>
      </c>
      <c r="AA464" s="12">
        <v>111300</v>
      </c>
      <c r="AB464" s="12">
        <v>111390</v>
      </c>
      <c r="AC464" s="12">
        <v>111300</v>
      </c>
      <c r="AD464" s="12">
        <v>111340</v>
      </c>
      <c r="AE464" s="11">
        <v>110940</v>
      </c>
      <c r="AF464" s="11">
        <v>111020</v>
      </c>
      <c r="AG464" s="11">
        <v>110900</v>
      </c>
      <c r="AH464" s="11">
        <v>111010</v>
      </c>
    </row>
    <row r="465" spans="19:34" x14ac:dyDescent="0.25">
      <c r="S465" s="12">
        <v>108580</v>
      </c>
      <c r="T465" s="12">
        <v>108610</v>
      </c>
      <c r="U465" s="12">
        <v>108580</v>
      </c>
      <c r="V465" s="12">
        <v>108610</v>
      </c>
      <c r="W465" s="11">
        <v>115960</v>
      </c>
      <c r="X465" s="11">
        <v>115980</v>
      </c>
      <c r="Y465" s="11">
        <v>115920</v>
      </c>
      <c r="Z465" s="11">
        <v>115940</v>
      </c>
      <c r="AA465" s="11">
        <v>111330</v>
      </c>
      <c r="AB465" s="11">
        <v>111390</v>
      </c>
      <c r="AC465" s="11">
        <v>111310</v>
      </c>
      <c r="AD465" s="11">
        <v>111350</v>
      </c>
      <c r="AE465" s="12">
        <v>111010</v>
      </c>
      <c r="AF465" s="12">
        <v>111010</v>
      </c>
      <c r="AG465" s="12">
        <v>110940</v>
      </c>
      <c r="AH465" s="12">
        <v>110970</v>
      </c>
    </row>
    <row r="466" spans="19:34" x14ac:dyDescent="0.25">
      <c r="S466" s="11">
        <v>108590</v>
      </c>
      <c r="T466" s="11">
        <v>108610</v>
      </c>
      <c r="U466" s="11">
        <v>108580</v>
      </c>
      <c r="V466" s="11">
        <v>108580</v>
      </c>
      <c r="W466" s="12">
        <v>115930</v>
      </c>
      <c r="X466" s="12">
        <v>115980</v>
      </c>
      <c r="Y466" s="12">
        <v>115880</v>
      </c>
      <c r="Z466" s="12">
        <v>115900</v>
      </c>
      <c r="AA466" s="12">
        <v>111350</v>
      </c>
      <c r="AB466" s="12">
        <v>111370</v>
      </c>
      <c r="AC466" s="12">
        <v>111320</v>
      </c>
      <c r="AD466" s="12">
        <v>111350</v>
      </c>
      <c r="AE466" s="11">
        <v>110970</v>
      </c>
      <c r="AF466" s="11">
        <v>111000</v>
      </c>
      <c r="AG466" s="11">
        <v>110960</v>
      </c>
      <c r="AH466" s="11">
        <v>110980</v>
      </c>
    </row>
    <row r="467" spans="19:34" x14ac:dyDescent="0.25">
      <c r="S467" s="12">
        <v>108500</v>
      </c>
      <c r="T467" s="12">
        <v>108500</v>
      </c>
      <c r="U467" s="12">
        <v>108500</v>
      </c>
      <c r="V467" s="12">
        <v>108500</v>
      </c>
      <c r="W467" s="11">
        <v>115900</v>
      </c>
      <c r="X467" s="11">
        <v>116020</v>
      </c>
      <c r="Y467" s="11">
        <v>115900</v>
      </c>
      <c r="Z467" s="11">
        <v>116000</v>
      </c>
      <c r="AA467" s="11">
        <v>111360</v>
      </c>
      <c r="AB467" s="11">
        <v>111410</v>
      </c>
      <c r="AC467" s="11">
        <v>111330</v>
      </c>
      <c r="AD467" s="11">
        <v>111380</v>
      </c>
      <c r="AE467" s="12">
        <v>110990</v>
      </c>
      <c r="AF467" s="12">
        <v>110990</v>
      </c>
      <c r="AG467" s="12">
        <v>110870</v>
      </c>
      <c r="AH467" s="12">
        <v>110880</v>
      </c>
    </row>
    <row r="468" spans="19:34" x14ac:dyDescent="0.25">
      <c r="S468" s="11">
        <v>108510</v>
      </c>
      <c r="T468" s="11">
        <v>108520</v>
      </c>
      <c r="U468" s="11">
        <v>108490</v>
      </c>
      <c r="V468" s="11">
        <v>108520</v>
      </c>
      <c r="W468" s="12">
        <v>116000</v>
      </c>
      <c r="X468" s="12">
        <v>116120</v>
      </c>
      <c r="Y468" s="12">
        <v>116000</v>
      </c>
      <c r="Z468" s="12">
        <v>116050</v>
      </c>
      <c r="AA468" s="12">
        <v>111380</v>
      </c>
      <c r="AB468" s="12">
        <v>111400</v>
      </c>
      <c r="AC468" s="12">
        <v>111300</v>
      </c>
      <c r="AD468" s="12">
        <v>111310</v>
      </c>
      <c r="AE468" s="11">
        <v>110870</v>
      </c>
      <c r="AF468" s="11">
        <v>110930</v>
      </c>
      <c r="AG468" s="11">
        <v>110840</v>
      </c>
      <c r="AH468" s="11">
        <v>110900</v>
      </c>
    </row>
    <row r="469" spans="19:34" x14ac:dyDescent="0.25">
      <c r="S469" s="12">
        <v>108530</v>
      </c>
      <c r="T469" s="12">
        <v>108530</v>
      </c>
      <c r="U469" s="12">
        <v>108520</v>
      </c>
      <c r="V469" s="12">
        <v>108520</v>
      </c>
      <c r="W469" s="11">
        <v>116050</v>
      </c>
      <c r="X469" s="11">
        <v>116150</v>
      </c>
      <c r="Y469" s="11">
        <v>116050</v>
      </c>
      <c r="Z469" s="11">
        <v>116140</v>
      </c>
      <c r="AA469" s="11">
        <v>111310</v>
      </c>
      <c r="AB469" s="11">
        <v>111320</v>
      </c>
      <c r="AC469" s="11">
        <v>111220</v>
      </c>
      <c r="AD469" s="11">
        <v>111260</v>
      </c>
      <c r="AE469" s="12">
        <v>110910</v>
      </c>
      <c r="AF469" s="12">
        <v>111000</v>
      </c>
      <c r="AG469" s="12">
        <v>110910</v>
      </c>
      <c r="AH469" s="12">
        <v>110990</v>
      </c>
    </row>
    <row r="470" spans="19:34" x14ac:dyDescent="0.25">
      <c r="S470" s="11">
        <v>108490</v>
      </c>
      <c r="T470" s="11">
        <v>108530</v>
      </c>
      <c r="U470" s="11">
        <v>108480</v>
      </c>
      <c r="V470" s="11">
        <v>108530</v>
      </c>
      <c r="W470" s="12">
        <v>116140</v>
      </c>
      <c r="X470" s="12">
        <v>116150</v>
      </c>
      <c r="Y470" s="12">
        <v>116070</v>
      </c>
      <c r="Z470" s="12">
        <v>116120</v>
      </c>
      <c r="AA470" s="12">
        <v>111250</v>
      </c>
      <c r="AB470" s="12">
        <v>111290</v>
      </c>
      <c r="AC470" s="12">
        <v>111200</v>
      </c>
      <c r="AD470" s="12">
        <v>111240</v>
      </c>
      <c r="AE470" s="11">
        <v>110990</v>
      </c>
      <c r="AF470" s="11">
        <v>111040</v>
      </c>
      <c r="AG470" s="11">
        <v>110960</v>
      </c>
      <c r="AH470" s="11">
        <v>110970</v>
      </c>
    </row>
    <row r="471" spans="19:34" x14ac:dyDescent="0.25">
      <c r="S471" s="12">
        <v>108600</v>
      </c>
      <c r="T471" s="12">
        <v>108600</v>
      </c>
      <c r="U471" s="12">
        <v>108540</v>
      </c>
      <c r="V471" s="12">
        <v>108580</v>
      </c>
      <c r="W471" s="11">
        <v>116120</v>
      </c>
      <c r="X471" s="11">
        <v>116230</v>
      </c>
      <c r="Y471" s="11">
        <v>116100</v>
      </c>
      <c r="Z471" s="11">
        <v>116180</v>
      </c>
      <c r="AA471" s="11">
        <v>111250</v>
      </c>
      <c r="AB471" s="11">
        <v>111320</v>
      </c>
      <c r="AC471" s="11">
        <v>111230</v>
      </c>
      <c r="AD471" s="11">
        <v>111240</v>
      </c>
      <c r="AE471" s="12">
        <v>110960</v>
      </c>
      <c r="AF471" s="12">
        <v>111100</v>
      </c>
      <c r="AG471" s="12">
        <v>110910</v>
      </c>
      <c r="AH471" s="12">
        <v>111100</v>
      </c>
    </row>
    <row r="472" spans="19:34" x14ac:dyDescent="0.25">
      <c r="S472" s="11">
        <v>108570</v>
      </c>
      <c r="T472" s="11">
        <v>108620</v>
      </c>
      <c r="U472" s="11">
        <v>108320</v>
      </c>
      <c r="V472" s="11">
        <v>108320</v>
      </c>
      <c r="W472" s="12">
        <v>116190</v>
      </c>
      <c r="X472" s="12">
        <v>116240</v>
      </c>
      <c r="Y472" s="12">
        <v>116180</v>
      </c>
      <c r="Z472" s="12">
        <v>116220</v>
      </c>
      <c r="AA472" s="12">
        <v>111250</v>
      </c>
      <c r="AB472" s="12">
        <v>111280</v>
      </c>
      <c r="AC472" s="12">
        <v>111170</v>
      </c>
      <c r="AD472" s="12">
        <v>111220</v>
      </c>
      <c r="AE472" s="11">
        <v>111100</v>
      </c>
      <c r="AF472" s="11">
        <v>111120</v>
      </c>
      <c r="AG472" s="11">
        <v>111010</v>
      </c>
      <c r="AH472" s="11">
        <v>111060</v>
      </c>
    </row>
    <row r="473" spans="19:34" x14ac:dyDescent="0.25">
      <c r="S473" s="12">
        <v>108250</v>
      </c>
      <c r="T473" s="12">
        <v>108260</v>
      </c>
      <c r="U473" s="12">
        <v>107800</v>
      </c>
      <c r="V473" s="12">
        <v>107880</v>
      </c>
      <c r="W473" s="11">
        <v>116210</v>
      </c>
      <c r="X473" s="11">
        <v>116280</v>
      </c>
      <c r="Y473" s="11">
        <v>116210</v>
      </c>
      <c r="Z473" s="11">
        <v>116250</v>
      </c>
      <c r="AA473" s="11">
        <v>111220</v>
      </c>
      <c r="AB473" s="11">
        <v>111280</v>
      </c>
      <c r="AC473" s="11">
        <v>111190</v>
      </c>
      <c r="AD473" s="11">
        <v>111230</v>
      </c>
      <c r="AE473" s="12">
        <v>111050</v>
      </c>
      <c r="AF473" s="12">
        <v>111100</v>
      </c>
      <c r="AG473" s="12">
        <v>110990</v>
      </c>
      <c r="AH473" s="12">
        <v>111010</v>
      </c>
    </row>
    <row r="474" spans="19:34" x14ac:dyDescent="0.25">
      <c r="S474" s="11">
        <v>107960</v>
      </c>
      <c r="T474" s="11">
        <v>108020</v>
      </c>
      <c r="U474" s="11">
        <v>107930</v>
      </c>
      <c r="V474" s="11">
        <v>108000</v>
      </c>
      <c r="W474" s="12">
        <v>116250</v>
      </c>
      <c r="X474" s="12">
        <v>116260</v>
      </c>
      <c r="Y474" s="12">
        <v>116220</v>
      </c>
      <c r="Z474" s="12">
        <v>116240</v>
      </c>
      <c r="AA474" s="12">
        <v>111220</v>
      </c>
      <c r="AB474" s="12">
        <v>111310</v>
      </c>
      <c r="AC474" s="12">
        <v>111210</v>
      </c>
      <c r="AD474" s="12">
        <v>111240</v>
      </c>
      <c r="AE474" s="11">
        <v>111020</v>
      </c>
      <c r="AF474" s="11">
        <v>111020</v>
      </c>
      <c r="AG474" s="11">
        <v>110940</v>
      </c>
      <c r="AH474" s="11">
        <v>110990</v>
      </c>
    </row>
    <row r="475" spans="19:34" x14ac:dyDescent="0.25">
      <c r="S475" s="12">
        <v>107970</v>
      </c>
      <c r="T475" s="12">
        <v>107990</v>
      </c>
      <c r="U475" s="12">
        <v>107910</v>
      </c>
      <c r="V475" s="12">
        <v>107950</v>
      </c>
      <c r="W475" s="11">
        <v>116240</v>
      </c>
      <c r="X475" s="11">
        <v>116300</v>
      </c>
      <c r="Y475" s="11">
        <v>116220</v>
      </c>
      <c r="Z475" s="11">
        <v>116300</v>
      </c>
      <c r="AA475" s="11">
        <v>111230</v>
      </c>
      <c r="AB475" s="11">
        <v>111250</v>
      </c>
      <c r="AC475" s="11">
        <v>111180</v>
      </c>
      <c r="AD475" s="11">
        <v>111210</v>
      </c>
      <c r="AE475" s="12">
        <v>110980</v>
      </c>
      <c r="AF475" s="12">
        <v>111080</v>
      </c>
      <c r="AG475" s="12">
        <v>110960</v>
      </c>
      <c r="AH475" s="12">
        <v>111080</v>
      </c>
    </row>
    <row r="476" spans="19:34" x14ac:dyDescent="0.25">
      <c r="S476" s="11">
        <v>107920</v>
      </c>
      <c r="T476" s="11">
        <v>108000</v>
      </c>
      <c r="U476" s="11">
        <v>107910</v>
      </c>
      <c r="V476" s="11">
        <v>107920</v>
      </c>
      <c r="W476" s="12">
        <v>116300</v>
      </c>
      <c r="X476" s="12">
        <v>116400</v>
      </c>
      <c r="Y476" s="12">
        <v>116280</v>
      </c>
      <c r="Z476" s="12">
        <v>116370</v>
      </c>
      <c r="AA476" s="12">
        <v>111230</v>
      </c>
      <c r="AB476" s="12">
        <v>111340</v>
      </c>
      <c r="AC476" s="12">
        <v>111200</v>
      </c>
      <c r="AD476" s="12">
        <v>111320</v>
      </c>
      <c r="AE476" s="11">
        <v>111080</v>
      </c>
      <c r="AF476" s="11">
        <v>111080</v>
      </c>
      <c r="AG476" s="11">
        <v>110970</v>
      </c>
      <c r="AH476" s="11">
        <v>110970</v>
      </c>
    </row>
    <row r="477" spans="19:34" x14ac:dyDescent="0.25">
      <c r="S477" s="12">
        <v>107920</v>
      </c>
      <c r="T477" s="12">
        <v>107950</v>
      </c>
      <c r="U477" s="12">
        <v>107920</v>
      </c>
      <c r="V477" s="12">
        <v>107920</v>
      </c>
      <c r="W477" s="11">
        <v>116370</v>
      </c>
      <c r="X477" s="11">
        <v>116440</v>
      </c>
      <c r="Y477" s="11">
        <v>116330</v>
      </c>
      <c r="Z477" s="11">
        <v>116390</v>
      </c>
      <c r="AA477" s="11">
        <v>111320</v>
      </c>
      <c r="AB477" s="11">
        <v>111360</v>
      </c>
      <c r="AC477" s="11">
        <v>111300</v>
      </c>
      <c r="AD477" s="11">
        <v>111310</v>
      </c>
      <c r="AE477" s="12">
        <v>110980</v>
      </c>
      <c r="AF477" s="12">
        <v>111050</v>
      </c>
      <c r="AG477" s="12">
        <v>110960</v>
      </c>
      <c r="AH477" s="12">
        <v>110990</v>
      </c>
    </row>
    <row r="478" spans="19:34" x14ac:dyDescent="0.25">
      <c r="S478" s="11">
        <v>107920</v>
      </c>
      <c r="T478" s="11">
        <v>107920</v>
      </c>
      <c r="U478" s="11">
        <v>107850</v>
      </c>
      <c r="V478" s="11">
        <v>107850</v>
      </c>
      <c r="W478" s="12">
        <v>116370</v>
      </c>
      <c r="X478" s="12">
        <v>116370</v>
      </c>
      <c r="Y478" s="12">
        <v>116270</v>
      </c>
      <c r="Z478" s="12">
        <v>116320</v>
      </c>
      <c r="AA478" s="12">
        <v>111310</v>
      </c>
      <c r="AB478" s="12">
        <v>111340</v>
      </c>
      <c r="AC478" s="12">
        <v>111270</v>
      </c>
      <c r="AD478" s="12">
        <v>111290</v>
      </c>
      <c r="AE478" s="11">
        <v>111010</v>
      </c>
      <c r="AF478" s="11">
        <v>111210</v>
      </c>
      <c r="AG478" s="11">
        <v>110990</v>
      </c>
      <c r="AH478" s="11">
        <v>111140</v>
      </c>
    </row>
    <row r="479" spans="19:34" x14ac:dyDescent="0.25">
      <c r="S479" s="12">
        <v>107850</v>
      </c>
      <c r="T479" s="12">
        <v>107920</v>
      </c>
      <c r="U479" s="12">
        <v>107810</v>
      </c>
      <c r="V479" s="12">
        <v>107880</v>
      </c>
      <c r="W479" s="11">
        <v>116330</v>
      </c>
      <c r="X479" s="11">
        <v>116440</v>
      </c>
      <c r="Y479" s="11">
        <v>116320</v>
      </c>
      <c r="Z479" s="11">
        <v>116410</v>
      </c>
      <c r="AA479" s="11">
        <v>111280</v>
      </c>
      <c r="AB479" s="11">
        <v>111340</v>
      </c>
      <c r="AC479" s="11">
        <v>111100</v>
      </c>
      <c r="AD479" s="11">
        <v>111130</v>
      </c>
      <c r="AE479" s="12">
        <v>111150</v>
      </c>
      <c r="AF479" s="12">
        <v>111170</v>
      </c>
      <c r="AG479" s="12">
        <v>111110</v>
      </c>
      <c r="AH479" s="12">
        <v>111130</v>
      </c>
    </row>
    <row r="480" spans="19:34" x14ac:dyDescent="0.25">
      <c r="S480" s="11">
        <v>107850</v>
      </c>
      <c r="T480" s="11">
        <v>107930</v>
      </c>
      <c r="U480" s="11">
        <v>107850</v>
      </c>
      <c r="V480" s="11">
        <v>107930</v>
      </c>
      <c r="W480" s="12">
        <v>116410</v>
      </c>
      <c r="X480" s="12">
        <v>116450</v>
      </c>
      <c r="Y480" s="12">
        <v>116370</v>
      </c>
      <c r="Z480" s="12">
        <v>116390</v>
      </c>
      <c r="AA480" s="12">
        <v>111130</v>
      </c>
      <c r="AB480" s="12">
        <v>111220</v>
      </c>
      <c r="AC480" s="12">
        <v>111120</v>
      </c>
      <c r="AD480" s="12">
        <v>111130</v>
      </c>
      <c r="AE480" s="11">
        <v>111140</v>
      </c>
      <c r="AF480" s="11">
        <v>111190</v>
      </c>
      <c r="AG480" s="11">
        <v>111110</v>
      </c>
      <c r="AH480" s="11">
        <v>111160</v>
      </c>
    </row>
    <row r="481" spans="19:34" x14ac:dyDescent="0.25">
      <c r="S481" s="12">
        <v>107950</v>
      </c>
      <c r="T481" s="12">
        <v>108050</v>
      </c>
      <c r="U481" s="12">
        <v>107950</v>
      </c>
      <c r="V481" s="12">
        <v>108050</v>
      </c>
      <c r="W481" s="11">
        <v>116390</v>
      </c>
      <c r="X481" s="11">
        <v>116400</v>
      </c>
      <c r="Y481" s="11">
        <v>116340</v>
      </c>
      <c r="Z481" s="11">
        <v>116360</v>
      </c>
      <c r="AA481" s="11">
        <v>111130</v>
      </c>
      <c r="AB481" s="11">
        <v>111220</v>
      </c>
      <c r="AC481" s="11">
        <v>111130</v>
      </c>
      <c r="AD481" s="11">
        <v>111210</v>
      </c>
      <c r="AE481" s="12">
        <v>111150</v>
      </c>
      <c r="AF481" s="12">
        <v>111160</v>
      </c>
      <c r="AG481" s="12">
        <v>111090</v>
      </c>
      <c r="AH481" s="12">
        <v>111150</v>
      </c>
    </row>
    <row r="482" spans="19:34" x14ac:dyDescent="0.25">
      <c r="S482" s="11">
        <v>108060</v>
      </c>
      <c r="T482" s="11">
        <v>108160</v>
      </c>
      <c r="U482" s="11">
        <v>108060</v>
      </c>
      <c r="V482" s="11">
        <v>108110</v>
      </c>
      <c r="W482" s="12">
        <v>116360</v>
      </c>
      <c r="X482" s="12">
        <v>116400</v>
      </c>
      <c r="Y482" s="12">
        <v>116360</v>
      </c>
      <c r="Z482" s="12">
        <v>116370</v>
      </c>
      <c r="AA482" s="12">
        <v>111210</v>
      </c>
      <c r="AB482" s="12">
        <v>111310</v>
      </c>
      <c r="AC482" s="12">
        <v>111200</v>
      </c>
      <c r="AD482" s="12">
        <v>111300</v>
      </c>
      <c r="AE482" s="11">
        <v>111160</v>
      </c>
      <c r="AF482" s="11">
        <v>111170</v>
      </c>
      <c r="AG482" s="11">
        <v>111060</v>
      </c>
      <c r="AH482" s="11">
        <v>111070</v>
      </c>
    </row>
    <row r="483" spans="19:34" x14ac:dyDescent="0.25">
      <c r="S483" s="12">
        <v>108120</v>
      </c>
      <c r="T483" s="12">
        <v>108160</v>
      </c>
      <c r="U483" s="12">
        <v>108090</v>
      </c>
      <c r="V483" s="12">
        <v>108150</v>
      </c>
      <c r="W483" s="11">
        <v>116370</v>
      </c>
      <c r="X483" s="11">
        <v>116430</v>
      </c>
      <c r="Y483" s="11">
        <v>116340</v>
      </c>
      <c r="Z483" s="11">
        <v>116340</v>
      </c>
      <c r="AA483" s="11">
        <v>111320</v>
      </c>
      <c r="AB483" s="11">
        <v>111350</v>
      </c>
      <c r="AC483" s="11">
        <v>111260</v>
      </c>
      <c r="AD483" s="11">
        <v>111290</v>
      </c>
      <c r="AE483" s="12">
        <v>111060</v>
      </c>
      <c r="AF483" s="12">
        <v>111060</v>
      </c>
      <c r="AG483" s="12">
        <v>111020</v>
      </c>
      <c r="AH483" s="12">
        <v>111040</v>
      </c>
    </row>
    <row r="484" spans="19:34" x14ac:dyDescent="0.25">
      <c r="S484" s="11">
        <v>108120</v>
      </c>
      <c r="T484" s="11">
        <v>108170</v>
      </c>
      <c r="U484" s="11">
        <v>108100</v>
      </c>
      <c r="V484" s="11">
        <v>108170</v>
      </c>
      <c r="W484" s="12">
        <v>116340</v>
      </c>
      <c r="X484" s="12">
        <v>116380</v>
      </c>
      <c r="Y484" s="12">
        <v>116320</v>
      </c>
      <c r="Z484" s="12">
        <v>116340</v>
      </c>
      <c r="AA484" s="12">
        <v>111300</v>
      </c>
      <c r="AB484" s="12">
        <v>111430</v>
      </c>
      <c r="AC484" s="12">
        <v>111280</v>
      </c>
      <c r="AD484" s="12">
        <v>111370</v>
      </c>
      <c r="AE484" s="11">
        <v>111030</v>
      </c>
      <c r="AF484" s="11">
        <v>111040</v>
      </c>
      <c r="AG484" s="11">
        <v>110960</v>
      </c>
      <c r="AH484" s="11">
        <v>110980</v>
      </c>
    </row>
    <row r="485" spans="19:34" x14ac:dyDescent="0.25">
      <c r="S485" s="12">
        <v>108120</v>
      </c>
      <c r="T485" s="12">
        <v>108120</v>
      </c>
      <c r="U485" s="12">
        <v>108120</v>
      </c>
      <c r="V485" s="12">
        <v>108120</v>
      </c>
      <c r="W485" s="11">
        <v>116330</v>
      </c>
      <c r="X485" s="11">
        <v>116360</v>
      </c>
      <c r="Y485" s="11">
        <v>116310</v>
      </c>
      <c r="Z485" s="11">
        <v>116320</v>
      </c>
      <c r="AA485" s="11">
        <v>111370</v>
      </c>
      <c r="AB485" s="11">
        <v>111420</v>
      </c>
      <c r="AC485" s="11">
        <v>111250</v>
      </c>
      <c r="AD485" s="11">
        <v>111260</v>
      </c>
      <c r="AE485" s="12">
        <v>110990</v>
      </c>
      <c r="AF485" s="12">
        <v>111060</v>
      </c>
      <c r="AG485" s="12">
        <v>110980</v>
      </c>
      <c r="AH485" s="12">
        <v>111060</v>
      </c>
    </row>
    <row r="486" spans="19:34" x14ac:dyDescent="0.25">
      <c r="S486" s="11">
        <v>108100</v>
      </c>
      <c r="T486" s="11">
        <v>108100</v>
      </c>
      <c r="U486" s="11">
        <v>108080</v>
      </c>
      <c r="V486" s="11">
        <v>108080</v>
      </c>
      <c r="W486" s="12">
        <v>116310</v>
      </c>
      <c r="X486" s="12">
        <v>116320</v>
      </c>
      <c r="Y486" s="12">
        <v>116270</v>
      </c>
      <c r="Z486" s="12">
        <v>116300</v>
      </c>
      <c r="AA486" s="12">
        <v>111250</v>
      </c>
      <c r="AB486" s="12">
        <v>111310</v>
      </c>
      <c r="AC486" s="12">
        <v>111130</v>
      </c>
      <c r="AD486" s="12">
        <v>111140</v>
      </c>
      <c r="AE486" s="11">
        <v>111060</v>
      </c>
      <c r="AF486" s="11">
        <v>111070</v>
      </c>
      <c r="AG486" s="11">
        <v>111030</v>
      </c>
      <c r="AH486" s="11">
        <v>111050</v>
      </c>
    </row>
    <row r="487" spans="19:34" x14ac:dyDescent="0.25">
      <c r="S487" s="12">
        <v>108160</v>
      </c>
      <c r="T487" s="12">
        <v>108160</v>
      </c>
      <c r="U487" s="12">
        <v>108160</v>
      </c>
      <c r="V487" s="12">
        <v>108160</v>
      </c>
      <c r="W487" s="11">
        <v>116290</v>
      </c>
      <c r="X487" s="11">
        <v>116320</v>
      </c>
      <c r="Y487" s="11">
        <v>116260</v>
      </c>
      <c r="Z487" s="11">
        <v>116270</v>
      </c>
      <c r="AA487" s="11">
        <v>111150</v>
      </c>
      <c r="AB487" s="11">
        <v>111230</v>
      </c>
      <c r="AC487" s="11">
        <v>111110</v>
      </c>
      <c r="AD487" s="11">
        <v>111120</v>
      </c>
      <c r="AE487" s="12">
        <v>111060</v>
      </c>
      <c r="AF487" s="12">
        <v>111080</v>
      </c>
      <c r="AG487" s="12">
        <v>110940</v>
      </c>
      <c r="AH487" s="12">
        <v>110960</v>
      </c>
    </row>
    <row r="488" spans="19:34" x14ac:dyDescent="0.25">
      <c r="S488" s="11">
        <v>108160</v>
      </c>
      <c r="T488" s="11">
        <v>108160</v>
      </c>
      <c r="U488" s="11">
        <v>108160</v>
      </c>
      <c r="V488" s="11">
        <v>108160</v>
      </c>
      <c r="W488" s="12">
        <v>116270</v>
      </c>
      <c r="X488" s="12">
        <v>116290</v>
      </c>
      <c r="Y488" s="12">
        <v>116230</v>
      </c>
      <c r="Z488" s="12">
        <v>116240</v>
      </c>
      <c r="AA488" s="12">
        <v>111130</v>
      </c>
      <c r="AB488" s="12">
        <v>111190</v>
      </c>
      <c r="AC488" s="12">
        <v>110980</v>
      </c>
      <c r="AD488" s="12">
        <v>111000</v>
      </c>
      <c r="AE488" s="11">
        <v>110950</v>
      </c>
      <c r="AF488" s="11">
        <v>111000</v>
      </c>
      <c r="AG488" s="11">
        <v>110900</v>
      </c>
      <c r="AH488" s="11">
        <v>110970</v>
      </c>
    </row>
    <row r="489" spans="19:34" x14ac:dyDescent="0.25">
      <c r="S489" s="12">
        <v>108070</v>
      </c>
      <c r="T489" s="12">
        <v>108070</v>
      </c>
      <c r="U489" s="12">
        <v>108070</v>
      </c>
      <c r="V489" s="12">
        <v>108070</v>
      </c>
      <c r="W489" s="11">
        <v>116240</v>
      </c>
      <c r="X489" s="11">
        <v>116290</v>
      </c>
      <c r="Y489" s="11">
        <v>116230</v>
      </c>
      <c r="Z489" s="11">
        <v>116270</v>
      </c>
      <c r="AA489" s="11">
        <v>111000</v>
      </c>
      <c r="AB489" s="11">
        <v>111010</v>
      </c>
      <c r="AC489" s="11">
        <v>110890</v>
      </c>
      <c r="AD489" s="11">
        <v>110960</v>
      </c>
      <c r="AE489" s="12">
        <v>110960</v>
      </c>
      <c r="AF489" s="12">
        <v>110960</v>
      </c>
      <c r="AG489" s="12">
        <v>110830</v>
      </c>
      <c r="AH489" s="12">
        <v>110900</v>
      </c>
    </row>
    <row r="490" spans="19:34" x14ac:dyDescent="0.25">
      <c r="S490" s="11">
        <v>108070</v>
      </c>
      <c r="T490" s="11">
        <v>108070</v>
      </c>
      <c r="U490" s="11">
        <v>108070</v>
      </c>
      <c r="V490" s="11">
        <v>108070</v>
      </c>
      <c r="W490" s="12">
        <v>116270</v>
      </c>
      <c r="X490" s="12">
        <v>116390</v>
      </c>
      <c r="Y490" s="12">
        <v>116260</v>
      </c>
      <c r="Z490" s="12">
        <v>116330</v>
      </c>
      <c r="AA490" s="12">
        <v>110970</v>
      </c>
      <c r="AB490" s="12">
        <v>111020</v>
      </c>
      <c r="AC490" s="12">
        <v>110930</v>
      </c>
      <c r="AD490" s="12">
        <v>110940</v>
      </c>
      <c r="AE490" s="11">
        <v>110900</v>
      </c>
      <c r="AF490" s="11">
        <v>110940</v>
      </c>
      <c r="AG490" s="11">
        <v>110820</v>
      </c>
      <c r="AH490" s="11">
        <v>110880</v>
      </c>
    </row>
    <row r="491" spans="19:34" x14ac:dyDescent="0.25">
      <c r="S491" s="12">
        <v>108070</v>
      </c>
      <c r="T491" s="12">
        <v>108070</v>
      </c>
      <c r="U491" s="12">
        <v>108050</v>
      </c>
      <c r="V491" s="12">
        <v>108060</v>
      </c>
      <c r="W491" s="11">
        <v>116340</v>
      </c>
      <c r="X491" s="11">
        <v>116400</v>
      </c>
      <c r="Y491" s="11">
        <v>116330</v>
      </c>
      <c r="Z491" s="11">
        <v>116390</v>
      </c>
      <c r="AA491" s="11">
        <v>110940</v>
      </c>
      <c r="AB491" s="11">
        <v>110980</v>
      </c>
      <c r="AC491" s="11">
        <v>110880</v>
      </c>
      <c r="AD491" s="11">
        <v>110880</v>
      </c>
      <c r="AE491" s="12">
        <v>110880</v>
      </c>
      <c r="AF491" s="12">
        <v>110930</v>
      </c>
      <c r="AG491" s="12">
        <v>110840</v>
      </c>
      <c r="AH491" s="12">
        <v>110920</v>
      </c>
    </row>
    <row r="492" spans="19:34" x14ac:dyDescent="0.25">
      <c r="S492" s="11">
        <v>108020</v>
      </c>
      <c r="T492" s="11">
        <v>108020</v>
      </c>
      <c r="U492" s="11">
        <v>107890</v>
      </c>
      <c r="V492" s="11">
        <v>107890</v>
      </c>
      <c r="W492" s="12">
        <v>116400</v>
      </c>
      <c r="X492" s="12">
        <v>116470</v>
      </c>
      <c r="Y492" s="12">
        <v>116380</v>
      </c>
      <c r="Z492" s="12">
        <v>116420</v>
      </c>
      <c r="AA492" s="12">
        <v>110890</v>
      </c>
      <c r="AB492" s="12">
        <v>110960</v>
      </c>
      <c r="AC492" s="12">
        <v>110880</v>
      </c>
      <c r="AD492" s="12">
        <v>110920</v>
      </c>
      <c r="AE492" s="11">
        <v>110910</v>
      </c>
      <c r="AF492" s="11">
        <v>110950</v>
      </c>
      <c r="AG492" s="11">
        <v>110900</v>
      </c>
      <c r="AH492" s="11">
        <v>110950</v>
      </c>
    </row>
    <row r="493" spans="19:34" x14ac:dyDescent="0.25">
      <c r="S493" s="12">
        <v>107860</v>
      </c>
      <c r="T493" s="12">
        <v>107890</v>
      </c>
      <c r="U493" s="12">
        <v>107850</v>
      </c>
      <c r="V493" s="12">
        <v>107850</v>
      </c>
      <c r="W493" s="11">
        <v>116410</v>
      </c>
      <c r="X493" s="11">
        <v>116440</v>
      </c>
      <c r="Y493" s="11">
        <v>116330</v>
      </c>
      <c r="Z493" s="11">
        <v>116330</v>
      </c>
      <c r="AA493" s="11">
        <v>110910</v>
      </c>
      <c r="AB493" s="11">
        <v>111010</v>
      </c>
      <c r="AC493" s="11">
        <v>110900</v>
      </c>
      <c r="AD493" s="11">
        <v>110950</v>
      </c>
      <c r="AE493" s="12">
        <v>110950</v>
      </c>
      <c r="AF493" s="12">
        <v>111110</v>
      </c>
      <c r="AG493" s="12">
        <v>110940</v>
      </c>
      <c r="AH493" s="12">
        <v>111060</v>
      </c>
    </row>
    <row r="494" spans="19:34" x14ac:dyDescent="0.25">
      <c r="S494" s="11">
        <v>107830</v>
      </c>
      <c r="T494" s="11">
        <v>107830</v>
      </c>
      <c r="U494" s="11">
        <v>107780</v>
      </c>
      <c r="V494" s="11">
        <v>107780</v>
      </c>
      <c r="W494" s="12">
        <v>116340</v>
      </c>
      <c r="X494" s="12">
        <v>116380</v>
      </c>
      <c r="Y494" s="12">
        <v>116320</v>
      </c>
      <c r="Z494" s="12">
        <v>116360</v>
      </c>
      <c r="AA494" s="12">
        <v>110940</v>
      </c>
      <c r="AB494" s="12">
        <v>110990</v>
      </c>
      <c r="AC494" s="12">
        <v>110940</v>
      </c>
      <c r="AD494" s="12">
        <v>110970</v>
      </c>
      <c r="AE494" s="11">
        <v>111060</v>
      </c>
      <c r="AF494" s="11">
        <v>111100</v>
      </c>
      <c r="AG494" s="11">
        <v>111020</v>
      </c>
      <c r="AH494" s="11">
        <v>111020</v>
      </c>
    </row>
    <row r="495" spans="19:34" x14ac:dyDescent="0.25">
      <c r="S495" s="12">
        <v>107770</v>
      </c>
      <c r="T495" s="12">
        <v>107770</v>
      </c>
      <c r="U495" s="12">
        <v>107720</v>
      </c>
      <c r="V495" s="12">
        <v>107720</v>
      </c>
      <c r="W495" s="11">
        <v>116370</v>
      </c>
      <c r="X495" s="11">
        <v>116430</v>
      </c>
      <c r="Y495" s="11">
        <v>116360</v>
      </c>
      <c r="Z495" s="11">
        <v>116410</v>
      </c>
      <c r="AA495" s="11">
        <v>110970</v>
      </c>
      <c r="AB495" s="11">
        <v>111010</v>
      </c>
      <c r="AC495" s="11">
        <v>110940</v>
      </c>
      <c r="AD495" s="11">
        <v>110960</v>
      </c>
      <c r="AE495" s="12">
        <v>111030</v>
      </c>
      <c r="AF495" s="12">
        <v>111030</v>
      </c>
      <c r="AG495" s="12">
        <v>110990</v>
      </c>
      <c r="AH495" s="12">
        <v>111030</v>
      </c>
    </row>
    <row r="496" spans="19:34" x14ac:dyDescent="0.25">
      <c r="S496" s="11">
        <v>107710</v>
      </c>
      <c r="T496" s="11">
        <v>107790</v>
      </c>
      <c r="U496" s="11">
        <v>107710</v>
      </c>
      <c r="V496" s="11">
        <v>107790</v>
      </c>
      <c r="W496" s="12">
        <v>116390</v>
      </c>
      <c r="X496" s="12">
        <v>116480</v>
      </c>
      <c r="Y496" s="12">
        <v>116390</v>
      </c>
      <c r="Z496" s="12">
        <v>116460</v>
      </c>
      <c r="AA496" s="12">
        <v>110960</v>
      </c>
      <c r="AB496" s="12">
        <v>111060</v>
      </c>
      <c r="AC496" s="12">
        <v>110960</v>
      </c>
      <c r="AD496" s="12">
        <v>111020</v>
      </c>
      <c r="AE496" s="11">
        <v>111020</v>
      </c>
      <c r="AF496" s="11">
        <v>111090</v>
      </c>
      <c r="AG496" s="11">
        <v>111010</v>
      </c>
      <c r="AH496" s="11">
        <v>111090</v>
      </c>
    </row>
    <row r="497" spans="19:34" x14ac:dyDescent="0.25">
      <c r="S497" s="12">
        <v>107790</v>
      </c>
      <c r="T497" s="12">
        <v>107790</v>
      </c>
      <c r="U497" s="12">
        <v>107730</v>
      </c>
      <c r="V497" s="12">
        <v>107730</v>
      </c>
      <c r="W497" s="11">
        <v>116480</v>
      </c>
      <c r="X497" s="11">
        <v>116680</v>
      </c>
      <c r="Y497" s="11">
        <v>116450</v>
      </c>
      <c r="Z497" s="11">
        <v>116640</v>
      </c>
      <c r="AA497" s="11">
        <v>111020</v>
      </c>
      <c r="AB497" s="11">
        <v>111030</v>
      </c>
      <c r="AC497" s="11">
        <v>110940</v>
      </c>
      <c r="AD497" s="11">
        <v>110960</v>
      </c>
      <c r="AE497" s="12">
        <v>111080</v>
      </c>
      <c r="AF497" s="12">
        <v>111110</v>
      </c>
      <c r="AG497" s="12">
        <v>111060</v>
      </c>
      <c r="AH497" s="12">
        <v>111100</v>
      </c>
    </row>
    <row r="498" spans="19:34" x14ac:dyDescent="0.25">
      <c r="S498" s="11">
        <v>107730</v>
      </c>
      <c r="T498" s="11">
        <v>107730</v>
      </c>
      <c r="U498" s="11">
        <v>107730</v>
      </c>
      <c r="V498" s="11">
        <v>107730</v>
      </c>
      <c r="W498" s="12">
        <v>116630</v>
      </c>
      <c r="X498" s="12">
        <v>116660</v>
      </c>
      <c r="Y498" s="12">
        <v>116590</v>
      </c>
      <c r="Z498" s="12">
        <v>116650</v>
      </c>
      <c r="AA498" s="12">
        <v>110960</v>
      </c>
      <c r="AB498" s="12">
        <v>111020</v>
      </c>
      <c r="AC498" s="12">
        <v>110890</v>
      </c>
      <c r="AD498" s="12">
        <v>111010</v>
      </c>
      <c r="AE498" s="11">
        <v>111100</v>
      </c>
      <c r="AF498" s="11">
        <v>111120</v>
      </c>
      <c r="AG498" s="11">
        <v>111070</v>
      </c>
      <c r="AH498" s="11">
        <v>111090</v>
      </c>
    </row>
    <row r="499" spans="19:34" x14ac:dyDescent="0.25">
      <c r="S499" s="12">
        <v>107870</v>
      </c>
      <c r="T499" s="12">
        <v>107870</v>
      </c>
      <c r="U499" s="12">
        <v>107850</v>
      </c>
      <c r="V499" s="12">
        <v>107850</v>
      </c>
      <c r="W499" s="11">
        <v>116660</v>
      </c>
      <c r="X499" s="11">
        <v>116660</v>
      </c>
      <c r="Y499" s="11">
        <v>116530</v>
      </c>
      <c r="Z499" s="11">
        <v>116550</v>
      </c>
      <c r="AA499" s="11">
        <v>111010</v>
      </c>
      <c r="AB499" s="11">
        <v>111050</v>
      </c>
      <c r="AC499" s="11">
        <v>110990</v>
      </c>
      <c r="AD499" s="11">
        <v>111040</v>
      </c>
      <c r="AE499" s="12">
        <v>111080</v>
      </c>
      <c r="AF499" s="12">
        <v>111140</v>
      </c>
      <c r="AG499" s="12">
        <v>111050</v>
      </c>
      <c r="AH499" s="12">
        <v>111110</v>
      </c>
    </row>
    <row r="500" spans="19:34" x14ac:dyDescent="0.25">
      <c r="S500" s="11">
        <v>107800</v>
      </c>
      <c r="T500" s="11">
        <v>107800</v>
      </c>
      <c r="U500" s="11">
        <v>107800</v>
      </c>
      <c r="V500" s="11">
        <v>107800</v>
      </c>
      <c r="W500" s="12">
        <v>116540</v>
      </c>
      <c r="X500" s="12">
        <v>116610</v>
      </c>
      <c r="Y500" s="12">
        <v>116540</v>
      </c>
      <c r="Z500" s="12">
        <v>116570</v>
      </c>
      <c r="AA500" s="12">
        <v>111040</v>
      </c>
      <c r="AB500" s="12">
        <v>111050</v>
      </c>
      <c r="AC500" s="12">
        <v>110980</v>
      </c>
      <c r="AD500" s="12">
        <v>111040</v>
      </c>
      <c r="AE500" s="11">
        <v>111120</v>
      </c>
      <c r="AF500" s="11">
        <v>111140</v>
      </c>
      <c r="AG500" s="11">
        <v>111090</v>
      </c>
      <c r="AH500" s="11">
        <v>111100</v>
      </c>
    </row>
    <row r="501" spans="19:34" x14ac:dyDescent="0.25">
      <c r="S501" s="12">
        <v>107880</v>
      </c>
      <c r="T501" s="12">
        <v>107910</v>
      </c>
      <c r="U501" s="12">
        <v>107880</v>
      </c>
      <c r="V501" s="12">
        <v>107910</v>
      </c>
      <c r="W501" s="11">
        <v>116570</v>
      </c>
      <c r="X501" s="11">
        <v>116650</v>
      </c>
      <c r="Y501" s="11">
        <v>116560</v>
      </c>
      <c r="Z501" s="11">
        <v>116610</v>
      </c>
      <c r="AA501" s="11">
        <v>111050</v>
      </c>
      <c r="AB501" s="11">
        <v>111070</v>
      </c>
      <c r="AC501" s="11">
        <v>111010</v>
      </c>
      <c r="AD501" s="11">
        <v>111030</v>
      </c>
      <c r="AE501" s="12">
        <v>111100</v>
      </c>
      <c r="AF501" s="12">
        <v>111150</v>
      </c>
      <c r="AG501" s="12">
        <v>111080</v>
      </c>
      <c r="AH501" s="12">
        <v>111120</v>
      </c>
    </row>
    <row r="502" spans="19:34" x14ac:dyDescent="0.25">
      <c r="S502" s="11">
        <v>107920</v>
      </c>
      <c r="T502" s="11">
        <v>107960</v>
      </c>
      <c r="U502" s="11">
        <v>107910</v>
      </c>
      <c r="V502" s="11">
        <v>107910</v>
      </c>
      <c r="W502" s="12">
        <v>116620</v>
      </c>
      <c r="X502" s="12">
        <v>116630</v>
      </c>
      <c r="Y502" s="12">
        <v>116570</v>
      </c>
      <c r="Z502" s="12">
        <v>116580</v>
      </c>
      <c r="AA502" s="12">
        <v>111050</v>
      </c>
      <c r="AB502" s="12">
        <v>111050</v>
      </c>
      <c r="AC502" s="12">
        <v>110950</v>
      </c>
      <c r="AD502" s="12">
        <v>110980</v>
      </c>
      <c r="AE502" s="11">
        <v>111120</v>
      </c>
      <c r="AF502" s="11">
        <v>111150</v>
      </c>
      <c r="AG502" s="11">
        <v>111100</v>
      </c>
      <c r="AH502" s="11">
        <v>111120</v>
      </c>
    </row>
    <row r="503" spans="19:34" x14ac:dyDescent="0.25">
      <c r="S503" s="12">
        <v>107900</v>
      </c>
      <c r="T503" s="12">
        <v>107900</v>
      </c>
      <c r="U503" s="12">
        <v>107860</v>
      </c>
      <c r="V503" s="12">
        <v>107870</v>
      </c>
      <c r="W503" s="11">
        <v>116560</v>
      </c>
      <c r="X503" s="11">
        <v>116580</v>
      </c>
      <c r="Y503" s="11">
        <v>116520</v>
      </c>
      <c r="Z503" s="11">
        <v>116540</v>
      </c>
      <c r="AA503" s="11">
        <v>110990</v>
      </c>
      <c r="AB503" s="11">
        <v>111070</v>
      </c>
      <c r="AC503" s="11">
        <v>110990</v>
      </c>
      <c r="AD503" s="11">
        <v>111030</v>
      </c>
      <c r="AE503" s="12">
        <v>111120</v>
      </c>
      <c r="AF503" s="12">
        <v>111120</v>
      </c>
      <c r="AG503" s="12">
        <v>111050</v>
      </c>
      <c r="AH503" s="12">
        <v>111060</v>
      </c>
    </row>
    <row r="504" spans="19:34" x14ac:dyDescent="0.25">
      <c r="S504" s="11">
        <v>107920</v>
      </c>
      <c r="T504" s="11">
        <v>107920</v>
      </c>
      <c r="U504" s="11">
        <v>107900</v>
      </c>
      <c r="V504" s="11">
        <v>107910</v>
      </c>
      <c r="W504" s="12">
        <v>116540</v>
      </c>
      <c r="X504" s="12">
        <v>116590</v>
      </c>
      <c r="Y504" s="12">
        <v>116520</v>
      </c>
      <c r="Z504" s="12">
        <v>116580</v>
      </c>
      <c r="AA504" s="12">
        <v>111040</v>
      </c>
      <c r="AB504" s="12">
        <v>111110</v>
      </c>
      <c r="AC504" s="12">
        <v>111040</v>
      </c>
      <c r="AD504" s="12">
        <v>111100</v>
      </c>
      <c r="AE504" s="11">
        <v>111050</v>
      </c>
      <c r="AF504" s="11">
        <v>111050</v>
      </c>
      <c r="AG504" s="11">
        <v>110990</v>
      </c>
      <c r="AH504" s="11">
        <v>111000</v>
      </c>
    </row>
    <row r="505" spans="19:34" x14ac:dyDescent="0.25">
      <c r="S505" s="12">
        <v>107890</v>
      </c>
      <c r="T505" s="12">
        <v>107890</v>
      </c>
      <c r="U505" s="12">
        <v>107890</v>
      </c>
      <c r="V505" s="12">
        <v>107890</v>
      </c>
      <c r="W505" s="11">
        <v>116560</v>
      </c>
      <c r="X505" s="11">
        <v>116580</v>
      </c>
      <c r="Y505" s="11">
        <v>116510</v>
      </c>
      <c r="Z505" s="11">
        <v>116540</v>
      </c>
      <c r="AA505" s="11">
        <v>111100</v>
      </c>
      <c r="AB505" s="11">
        <v>111160</v>
      </c>
      <c r="AC505" s="11">
        <v>111090</v>
      </c>
      <c r="AD505" s="11">
        <v>111120</v>
      </c>
      <c r="AE505" s="12">
        <v>110990</v>
      </c>
      <c r="AF505" s="12">
        <v>111050</v>
      </c>
      <c r="AG505" s="12">
        <v>110970</v>
      </c>
      <c r="AH505" s="12">
        <v>110990</v>
      </c>
    </row>
    <row r="506" spans="19:34" x14ac:dyDescent="0.25">
      <c r="S506" s="11">
        <v>107900</v>
      </c>
      <c r="T506" s="11">
        <v>107900</v>
      </c>
      <c r="U506" s="11">
        <v>107900</v>
      </c>
      <c r="V506" s="11">
        <v>107900</v>
      </c>
      <c r="W506" s="12">
        <v>116540</v>
      </c>
      <c r="X506" s="12">
        <v>116570</v>
      </c>
      <c r="Y506" s="12">
        <v>116500</v>
      </c>
      <c r="Z506" s="12">
        <v>116560</v>
      </c>
      <c r="AA506" s="12">
        <v>111120</v>
      </c>
      <c r="AB506" s="12">
        <v>111140</v>
      </c>
      <c r="AC506" s="12">
        <v>111070</v>
      </c>
      <c r="AD506" s="12">
        <v>111140</v>
      </c>
      <c r="AE506" s="11">
        <v>110980</v>
      </c>
      <c r="AF506" s="11">
        <v>111020</v>
      </c>
      <c r="AG506" s="11">
        <v>110980</v>
      </c>
      <c r="AH506" s="11">
        <v>111010</v>
      </c>
    </row>
    <row r="507" spans="19:34" x14ac:dyDescent="0.25">
      <c r="S507" s="12">
        <v>107920</v>
      </c>
      <c r="T507" s="12">
        <v>107920</v>
      </c>
      <c r="U507" s="12">
        <v>107860</v>
      </c>
      <c r="V507" s="12">
        <v>107860</v>
      </c>
      <c r="W507" s="11">
        <v>116570</v>
      </c>
      <c r="X507" s="11">
        <v>116580</v>
      </c>
      <c r="Y507" s="11">
        <v>116520</v>
      </c>
      <c r="Z507" s="11">
        <v>116550</v>
      </c>
      <c r="AA507" s="11">
        <v>111140</v>
      </c>
      <c r="AB507" s="11">
        <v>111150</v>
      </c>
      <c r="AC507" s="11">
        <v>111040</v>
      </c>
      <c r="AD507" s="11">
        <v>111080</v>
      </c>
      <c r="AE507" s="12">
        <v>110990</v>
      </c>
      <c r="AF507" s="12">
        <v>111000</v>
      </c>
      <c r="AG507" s="12">
        <v>110920</v>
      </c>
      <c r="AH507" s="12">
        <v>110980</v>
      </c>
    </row>
    <row r="508" spans="19:34" x14ac:dyDescent="0.25">
      <c r="S508" s="11">
        <v>107890</v>
      </c>
      <c r="T508" s="11">
        <v>107890</v>
      </c>
      <c r="U508" s="11">
        <v>107890</v>
      </c>
      <c r="V508" s="11">
        <v>107890</v>
      </c>
      <c r="W508" s="12">
        <v>116560</v>
      </c>
      <c r="X508" s="12">
        <v>116620</v>
      </c>
      <c r="Y508" s="12">
        <v>116560</v>
      </c>
      <c r="Z508" s="12">
        <v>116580</v>
      </c>
      <c r="AA508" s="12">
        <v>111080</v>
      </c>
      <c r="AB508" s="12">
        <v>111110</v>
      </c>
      <c r="AC508" s="12">
        <v>111050</v>
      </c>
      <c r="AD508" s="12">
        <v>111110</v>
      </c>
      <c r="AE508" s="11">
        <v>110980</v>
      </c>
      <c r="AF508" s="11">
        <v>111000</v>
      </c>
      <c r="AG508" s="11">
        <v>110940</v>
      </c>
      <c r="AH508" s="11">
        <v>110980</v>
      </c>
    </row>
    <row r="509" spans="19:34" x14ac:dyDescent="0.25">
      <c r="S509" s="12">
        <v>107920</v>
      </c>
      <c r="T509" s="12">
        <v>107920</v>
      </c>
      <c r="U509" s="12">
        <v>107920</v>
      </c>
      <c r="V509" s="12">
        <v>107920</v>
      </c>
      <c r="W509" s="11">
        <v>116570</v>
      </c>
      <c r="X509" s="11">
        <v>116650</v>
      </c>
      <c r="Y509" s="11">
        <v>116560</v>
      </c>
      <c r="Z509" s="11">
        <v>116620</v>
      </c>
      <c r="AA509" s="11">
        <v>111110</v>
      </c>
      <c r="AB509" s="11">
        <v>111150</v>
      </c>
      <c r="AC509" s="11">
        <v>111100</v>
      </c>
      <c r="AD509" s="11">
        <v>111130</v>
      </c>
      <c r="AE509" s="12">
        <v>110990</v>
      </c>
      <c r="AF509" s="12">
        <v>111010</v>
      </c>
      <c r="AG509" s="12">
        <v>110950</v>
      </c>
      <c r="AH509" s="12">
        <v>110970</v>
      </c>
    </row>
    <row r="510" spans="19:34" x14ac:dyDescent="0.25">
      <c r="S510" s="11">
        <v>107970</v>
      </c>
      <c r="T510" s="11">
        <v>107980</v>
      </c>
      <c r="U510" s="11">
        <v>107970</v>
      </c>
      <c r="V510" s="11">
        <v>107980</v>
      </c>
      <c r="W510" s="12">
        <v>116610</v>
      </c>
      <c r="X510" s="12">
        <v>116630</v>
      </c>
      <c r="Y510" s="12">
        <v>116580</v>
      </c>
      <c r="Z510" s="12">
        <v>116620</v>
      </c>
      <c r="AA510" s="12">
        <v>111140</v>
      </c>
      <c r="AB510" s="12">
        <v>111310</v>
      </c>
      <c r="AC510" s="12">
        <v>111130</v>
      </c>
      <c r="AD510" s="12">
        <v>111280</v>
      </c>
      <c r="AE510" s="11">
        <v>110990</v>
      </c>
      <c r="AF510" s="11">
        <v>111010</v>
      </c>
      <c r="AG510" s="11">
        <v>110910</v>
      </c>
      <c r="AH510" s="11">
        <v>110960</v>
      </c>
    </row>
    <row r="511" spans="19:34" x14ac:dyDescent="0.25">
      <c r="S511" s="12">
        <v>107960</v>
      </c>
      <c r="T511" s="12">
        <v>107960</v>
      </c>
      <c r="U511" s="12">
        <v>107960</v>
      </c>
      <c r="V511" s="12">
        <v>107960</v>
      </c>
      <c r="W511" s="11">
        <v>116620</v>
      </c>
      <c r="X511" s="11">
        <v>116650</v>
      </c>
      <c r="Y511" s="11">
        <v>116600</v>
      </c>
      <c r="Z511" s="11">
        <v>116610</v>
      </c>
      <c r="AA511" s="11">
        <v>111270</v>
      </c>
      <c r="AB511" s="11">
        <v>111340</v>
      </c>
      <c r="AC511" s="11">
        <v>111270</v>
      </c>
      <c r="AD511" s="11">
        <v>111330</v>
      </c>
      <c r="AE511" s="12">
        <v>110960</v>
      </c>
      <c r="AF511" s="12">
        <v>111000</v>
      </c>
      <c r="AG511" s="12">
        <v>110940</v>
      </c>
      <c r="AH511" s="12">
        <v>110950</v>
      </c>
    </row>
    <row r="512" spans="19:34" x14ac:dyDescent="0.25">
      <c r="S512" s="11">
        <v>107960</v>
      </c>
      <c r="T512" s="11">
        <v>107960</v>
      </c>
      <c r="U512" s="11">
        <v>107960</v>
      </c>
      <c r="V512" s="11">
        <v>107960</v>
      </c>
      <c r="W512" s="12">
        <v>116610</v>
      </c>
      <c r="X512" s="12">
        <v>116650</v>
      </c>
      <c r="Y512" s="12">
        <v>116610</v>
      </c>
      <c r="Z512" s="12">
        <v>116610</v>
      </c>
      <c r="AA512" s="12">
        <v>111330</v>
      </c>
      <c r="AB512" s="12">
        <v>111380</v>
      </c>
      <c r="AC512" s="12">
        <v>111290</v>
      </c>
      <c r="AD512" s="12">
        <v>111290</v>
      </c>
      <c r="AE512" s="11">
        <v>110950</v>
      </c>
      <c r="AF512" s="11">
        <v>111030</v>
      </c>
      <c r="AG512" s="11">
        <v>110930</v>
      </c>
      <c r="AH512" s="11">
        <v>111010</v>
      </c>
    </row>
    <row r="513" spans="19:34" x14ac:dyDescent="0.25">
      <c r="S513" s="12">
        <v>107990</v>
      </c>
      <c r="T513" s="12">
        <v>108040</v>
      </c>
      <c r="U513" s="12">
        <v>107990</v>
      </c>
      <c r="V513" s="12">
        <v>108040</v>
      </c>
      <c r="W513" s="11">
        <v>116620</v>
      </c>
      <c r="X513" s="11">
        <v>116650</v>
      </c>
      <c r="Y513" s="11">
        <v>116610</v>
      </c>
      <c r="Z513" s="11">
        <v>116630</v>
      </c>
      <c r="AA513" s="11">
        <v>111290</v>
      </c>
      <c r="AB513" s="11">
        <v>111440</v>
      </c>
      <c r="AC513" s="11">
        <v>111270</v>
      </c>
      <c r="AD513" s="11">
        <v>111420</v>
      </c>
      <c r="AE513" s="12">
        <v>111020</v>
      </c>
      <c r="AF513" s="12">
        <v>111050</v>
      </c>
      <c r="AG513" s="12">
        <v>111000</v>
      </c>
      <c r="AH513" s="12">
        <v>111040</v>
      </c>
    </row>
    <row r="514" spans="19:34" x14ac:dyDescent="0.25">
      <c r="S514" s="11">
        <v>107980</v>
      </c>
      <c r="T514" s="11">
        <v>107980</v>
      </c>
      <c r="U514" s="11">
        <v>107970</v>
      </c>
      <c r="V514" s="11">
        <v>107970</v>
      </c>
      <c r="W514" s="12">
        <v>116630</v>
      </c>
      <c r="X514" s="12">
        <v>116640</v>
      </c>
      <c r="Y514" s="12">
        <v>116570</v>
      </c>
      <c r="Z514" s="12">
        <v>116580</v>
      </c>
      <c r="AA514" s="12">
        <v>111420</v>
      </c>
      <c r="AB514" s="12">
        <v>111500</v>
      </c>
      <c r="AC514" s="12">
        <v>111420</v>
      </c>
      <c r="AD514" s="12">
        <v>111470</v>
      </c>
      <c r="AE514" s="11">
        <v>111040</v>
      </c>
      <c r="AF514" s="11">
        <v>111080</v>
      </c>
      <c r="AG514" s="11">
        <v>111030</v>
      </c>
      <c r="AH514" s="11">
        <v>111060</v>
      </c>
    </row>
    <row r="515" spans="19:34" x14ac:dyDescent="0.25">
      <c r="S515" s="12">
        <v>107960</v>
      </c>
      <c r="T515" s="12">
        <v>107960</v>
      </c>
      <c r="U515" s="12">
        <v>107960</v>
      </c>
      <c r="V515" s="12">
        <v>107960</v>
      </c>
      <c r="W515" s="11">
        <v>116590</v>
      </c>
      <c r="X515" s="11">
        <v>116590</v>
      </c>
      <c r="Y515" s="11">
        <v>116540</v>
      </c>
      <c r="Z515" s="11">
        <v>116560</v>
      </c>
      <c r="AA515" s="11">
        <v>111480</v>
      </c>
      <c r="AB515" s="11">
        <v>111570</v>
      </c>
      <c r="AC515" s="11">
        <v>111470</v>
      </c>
      <c r="AD515" s="11">
        <v>111510</v>
      </c>
      <c r="AE515" s="12">
        <v>111050</v>
      </c>
      <c r="AF515" s="12">
        <v>111180</v>
      </c>
      <c r="AG515" s="12">
        <v>111050</v>
      </c>
      <c r="AH515" s="12">
        <v>111180</v>
      </c>
    </row>
    <row r="516" spans="19:34" x14ac:dyDescent="0.25">
      <c r="S516" s="11">
        <v>107910</v>
      </c>
      <c r="T516" s="11">
        <v>107910</v>
      </c>
      <c r="U516" s="11">
        <v>107910</v>
      </c>
      <c r="V516" s="11">
        <v>107910</v>
      </c>
      <c r="W516" s="12">
        <v>116570</v>
      </c>
      <c r="X516" s="12">
        <v>116600</v>
      </c>
      <c r="Y516" s="12">
        <v>116550</v>
      </c>
      <c r="Z516" s="12">
        <v>116580</v>
      </c>
      <c r="AA516" s="12">
        <v>111520</v>
      </c>
      <c r="AB516" s="12">
        <v>111570</v>
      </c>
      <c r="AC516" s="12">
        <v>111500</v>
      </c>
      <c r="AD516" s="12">
        <v>111510</v>
      </c>
      <c r="AE516" s="11">
        <v>111160</v>
      </c>
      <c r="AF516" s="11">
        <v>111170</v>
      </c>
      <c r="AG516" s="11">
        <v>111110</v>
      </c>
      <c r="AH516" s="11">
        <v>111120</v>
      </c>
    </row>
    <row r="517" spans="19:34" x14ac:dyDescent="0.25">
      <c r="S517" s="12">
        <v>107970</v>
      </c>
      <c r="T517" s="12">
        <v>107970</v>
      </c>
      <c r="U517" s="12">
        <v>107970</v>
      </c>
      <c r="V517" s="12">
        <v>107970</v>
      </c>
      <c r="W517" s="11">
        <v>116580</v>
      </c>
      <c r="X517" s="11">
        <v>116610</v>
      </c>
      <c r="Y517" s="11">
        <v>116580</v>
      </c>
      <c r="Z517" s="11">
        <v>116590</v>
      </c>
      <c r="AA517" s="11">
        <v>111520</v>
      </c>
      <c r="AB517" s="11">
        <v>111520</v>
      </c>
      <c r="AC517" s="11">
        <v>111430</v>
      </c>
      <c r="AD517" s="11">
        <v>111480</v>
      </c>
      <c r="AE517" s="12">
        <v>111130</v>
      </c>
      <c r="AF517" s="12">
        <v>111190</v>
      </c>
      <c r="AG517" s="12">
        <v>111120</v>
      </c>
      <c r="AH517" s="12">
        <v>111170</v>
      </c>
    </row>
    <row r="518" spans="19:34" x14ac:dyDescent="0.25">
      <c r="S518" s="11">
        <v>107950</v>
      </c>
      <c r="T518" s="11">
        <v>107950</v>
      </c>
      <c r="U518" s="11">
        <v>107950</v>
      </c>
      <c r="V518" s="11">
        <v>107950</v>
      </c>
      <c r="W518" s="12">
        <v>116600</v>
      </c>
      <c r="X518" s="12">
        <v>116610</v>
      </c>
      <c r="Y518" s="12">
        <v>116580</v>
      </c>
      <c r="Z518" s="12">
        <v>116600</v>
      </c>
      <c r="AA518" s="12">
        <v>111490</v>
      </c>
      <c r="AB518" s="12">
        <v>111520</v>
      </c>
      <c r="AC518" s="12">
        <v>111440</v>
      </c>
      <c r="AD518" s="12">
        <v>111470</v>
      </c>
      <c r="AE518" s="11">
        <v>111180</v>
      </c>
      <c r="AF518" s="11">
        <v>111200</v>
      </c>
      <c r="AG518" s="11">
        <v>111150</v>
      </c>
      <c r="AH518" s="11">
        <v>111170</v>
      </c>
    </row>
    <row r="519" spans="19:34" x14ac:dyDescent="0.25">
      <c r="S519" s="12">
        <v>107910</v>
      </c>
      <c r="T519" s="12">
        <v>108000</v>
      </c>
      <c r="U519" s="12">
        <v>107880</v>
      </c>
      <c r="V519" s="12">
        <v>107880</v>
      </c>
      <c r="W519" s="11">
        <v>116590</v>
      </c>
      <c r="X519" s="11">
        <v>116670</v>
      </c>
      <c r="Y519" s="11">
        <v>116590</v>
      </c>
      <c r="Z519" s="11">
        <v>116640</v>
      </c>
      <c r="AA519" s="11">
        <v>111460</v>
      </c>
      <c r="AB519" s="11">
        <v>111520</v>
      </c>
      <c r="AC519" s="11">
        <v>111440</v>
      </c>
      <c r="AD519" s="11">
        <v>111520</v>
      </c>
      <c r="AE519" s="12">
        <v>111160</v>
      </c>
      <c r="AF519" s="12">
        <v>111170</v>
      </c>
      <c r="AG519" s="12">
        <v>111120</v>
      </c>
      <c r="AH519" s="12">
        <v>111130</v>
      </c>
    </row>
    <row r="520" spans="19:34" x14ac:dyDescent="0.25">
      <c r="S520" s="11">
        <v>107920</v>
      </c>
      <c r="T520" s="11">
        <v>107920</v>
      </c>
      <c r="U520" s="11">
        <v>107920</v>
      </c>
      <c r="V520" s="11">
        <v>107920</v>
      </c>
      <c r="W520" s="12">
        <v>116660</v>
      </c>
      <c r="X520" s="12">
        <v>116670</v>
      </c>
      <c r="Y520" s="12">
        <v>116620</v>
      </c>
      <c r="Z520" s="12">
        <v>116650</v>
      </c>
      <c r="AA520" s="12">
        <v>111520</v>
      </c>
      <c r="AB520" s="12">
        <v>111560</v>
      </c>
      <c r="AC520" s="12">
        <v>111500</v>
      </c>
      <c r="AD520" s="12">
        <v>111550</v>
      </c>
      <c r="AE520" s="11">
        <v>111120</v>
      </c>
      <c r="AF520" s="11">
        <v>111140</v>
      </c>
      <c r="AG520" s="11">
        <v>111110</v>
      </c>
      <c r="AH520" s="11">
        <v>111110</v>
      </c>
    </row>
    <row r="521" spans="19:34" x14ac:dyDescent="0.25">
      <c r="S521" s="12">
        <v>107960</v>
      </c>
      <c r="T521" s="12">
        <v>107960</v>
      </c>
      <c r="U521" s="12">
        <v>107960</v>
      </c>
      <c r="V521" s="12">
        <v>107960</v>
      </c>
      <c r="W521" s="11">
        <v>116660</v>
      </c>
      <c r="X521" s="11">
        <v>116740</v>
      </c>
      <c r="Y521" s="11">
        <v>116630</v>
      </c>
      <c r="Z521" s="11">
        <v>116690</v>
      </c>
      <c r="AA521" s="11">
        <v>111560</v>
      </c>
      <c r="AB521" s="11">
        <v>111800</v>
      </c>
      <c r="AC521" s="11">
        <v>111530</v>
      </c>
      <c r="AD521" s="11">
        <v>111780</v>
      </c>
      <c r="AE521" s="12">
        <v>111110</v>
      </c>
      <c r="AF521" s="12">
        <v>111150</v>
      </c>
      <c r="AG521" s="12">
        <v>111100</v>
      </c>
      <c r="AH521" s="12">
        <v>111150</v>
      </c>
    </row>
    <row r="522" spans="19:34" x14ac:dyDescent="0.25">
      <c r="S522" s="11">
        <v>107950</v>
      </c>
      <c r="T522" s="11">
        <v>107950</v>
      </c>
      <c r="U522" s="11">
        <v>107950</v>
      </c>
      <c r="V522" s="11">
        <v>107950</v>
      </c>
      <c r="W522" s="12">
        <v>116770</v>
      </c>
      <c r="X522" s="12">
        <v>116830</v>
      </c>
      <c r="Y522" s="12">
        <v>116660</v>
      </c>
      <c r="Z522" s="12">
        <v>116770</v>
      </c>
      <c r="AA522" s="12">
        <v>111500</v>
      </c>
      <c r="AB522" s="12">
        <v>111500</v>
      </c>
      <c r="AC522" s="12">
        <v>111190</v>
      </c>
      <c r="AD522" s="12">
        <v>111350</v>
      </c>
      <c r="AE522" s="11">
        <v>111200</v>
      </c>
      <c r="AF522" s="11">
        <v>111500</v>
      </c>
      <c r="AG522" s="11">
        <v>111060</v>
      </c>
      <c r="AH522" s="11">
        <v>111080</v>
      </c>
    </row>
    <row r="523" spans="19:34" x14ac:dyDescent="0.25">
      <c r="S523" s="12">
        <v>108000</v>
      </c>
      <c r="T523" s="12">
        <v>108000</v>
      </c>
      <c r="U523" s="12">
        <v>108000</v>
      </c>
      <c r="V523" s="12">
        <v>108000</v>
      </c>
      <c r="W523" s="11">
        <v>116760</v>
      </c>
      <c r="X523" s="11">
        <v>116760</v>
      </c>
      <c r="Y523" s="11">
        <v>116690</v>
      </c>
      <c r="Z523" s="11">
        <v>116720</v>
      </c>
      <c r="AA523" s="11">
        <v>111350</v>
      </c>
      <c r="AB523" s="11">
        <v>111370</v>
      </c>
      <c r="AC523" s="11">
        <v>111300</v>
      </c>
      <c r="AD523" s="11">
        <v>111340</v>
      </c>
      <c r="AE523" s="12">
        <v>111070</v>
      </c>
      <c r="AF523" s="12">
        <v>111090</v>
      </c>
      <c r="AG523" s="12">
        <v>110940</v>
      </c>
      <c r="AH523" s="12">
        <v>110980</v>
      </c>
    </row>
    <row r="524" spans="19:34" x14ac:dyDescent="0.25">
      <c r="S524" s="11">
        <v>107980</v>
      </c>
      <c r="T524" s="11">
        <v>107980</v>
      </c>
      <c r="U524" s="11">
        <v>107960</v>
      </c>
      <c r="V524" s="11">
        <v>107960</v>
      </c>
      <c r="W524" s="12">
        <v>116720</v>
      </c>
      <c r="X524" s="12">
        <v>116720</v>
      </c>
      <c r="Y524" s="12">
        <v>116670</v>
      </c>
      <c r="Z524" s="12">
        <v>116690</v>
      </c>
      <c r="AA524" s="12">
        <v>111340</v>
      </c>
      <c r="AB524" s="12">
        <v>111350</v>
      </c>
      <c r="AC524" s="12">
        <v>111240</v>
      </c>
      <c r="AD524" s="12">
        <v>111250</v>
      </c>
      <c r="AE524" s="11">
        <v>110970</v>
      </c>
      <c r="AF524" s="11">
        <v>111070</v>
      </c>
      <c r="AG524" s="11">
        <v>110960</v>
      </c>
      <c r="AH524" s="11">
        <v>111010</v>
      </c>
    </row>
    <row r="525" spans="19:34" x14ac:dyDescent="0.25">
      <c r="S525" s="12">
        <v>107910</v>
      </c>
      <c r="T525" s="12">
        <v>107910</v>
      </c>
      <c r="U525" s="12">
        <v>107900</v>
      </c>
      <c r="V525" s="12">
        <v>107900</v>
      </c>
      <c r="W525" s="11">
        <v>116690</v>
      </c>
      <c r="X525" s="11">
        <v>116800</v>
      </c>
      <c r="Y525" s="11">
        <v>116690</v>
      </c>
      <c r="Z525" s="11">
        <v>116740</v>
      </c>
      <c r="AA525" s="11">
        <v>111240</v>
      </c>
      <c r="AB525" s="11">
        <v>111310</v>
      </c>
      <c r="AC525" s="11">
        <v>111220</v>
      </c>
      <c r="AD525" s="11">
        <v>111290</v>
      </c>
      <c r="AE525" s="12">
        <v>111000</v>
      </c>
      <c r="AF525" s="12">
        <v>111020</v>
      </c>
      <c r="AG525" s="12">
        <v>110840</v>
      </c>
      <c r="AH525" s="12">
        <v>110840</v>
      </c>
    </row>
    <row r="526" spans="19:34" x14ac:dyDescent="0.25">
      <c r="S526" s="11">
        <v>107910</v>
      </c>
      <c r="T526" s="11">
        <v>107910</v>
      </c>
      <c r="U526" s="11">
        <v>107910</v>
      </c>
      <c r="V526" s="11">
        <v>107910</v>
      </c>
      <c r="W526" s="12">
        <v>116740</v>
      </c>
      <c r="X526" s="12">
        <v>116830</v>
      </c>
      <c r="Y526" s="12">
        <v>116740</v>
      </c>
      <c r="Z526" s="12">
        <v>116770</v>
      </c>
      <c r="AA526" s="12">
        <v>111290</v>
      </c>
      <c r="AB526" s="12">
        <v>111310</v>
      </c>
      <c r="AC526" s="12">
        <v>111250</v>
      </c>
      <c r="AD526" s="12">
        <v>111280</v>
      </c>
      <c r="AE526" s="11">
        <v>110840</v>
      </c>
      <c r="AF526" s="11">
        <v>110890</v>
      </c>
      <c r="AG526" s="11">
        <v>110840</v>
      </c>
      <c r="AH526" s="11">
        <v>110880</v>
      </c>
    </row>
    <row r="527" spans="19:34" x14ac:dyDescent="0.25">
      <c r="S527" s="12">
        <v>107850</v>
      </c>
      <c r="T527" s="12">
        <v>107870</v>
      </c>
      <c r="U527" s="12">
        <v>107850</v>
      </c>
      <c r="V527" s="12">
        <v>107870</v>
      </c>
      <c r="W527" s="11">
        <v>116770</v>
      </c>
      <c r="X527" s="11">
        <v>116780</v>
      </c>
      <c r="Y527" s="11">
        <v>116740</v>
      </c>
      <c r="Z527" s="11">
        <v>116750</v>
      </c>
      <c r="AA527" s="11">
        <v>111270</v>
      </c>
      <c r="AB527" s="11">
        <v>111300</v>
      </c>
      <c r="AC527" s="11">
        <v>111230</v>
      </c>
      <c r="AD527" s="11">
        <v>111290</v>
      </c>
      <c r="AE527" s="12">
        <v>110870</v>
      </c>
      <c r="AF527" s="12">
        <v>110960</v>
      </c>
      <c r="AG527" s="12">
        <v>110690</v>
      </c>
      <c r="AH527" s="12">
        <v>110940</v>
      </c>
    </row>
    <row r="528" spans="19:34" x14ac:dyDescent="0.25">
      <c r="S528" s="11">
        <v>107830</v>
      </c>
      <c r="T528" s="11">
        <v>107830</v>
      </c>
      <c r="U528" s="11">
        <v>107830</v>
      </c>
      <c r="V528" s="11">
        <v>107830</v>
      </c>
      <c r="W528" s="12">
        <v>116740</v>
      </c>
      <c r="X528" s="12">
        <v>116740</v>
      </c>
      <c r="Y528" s="12">
        <v>116680</v>
      </c>
      <c r="Z528" s="12">
        <v>116710</v>
      </c>
      <c r="AA528" s="12">
        <v>111280</v>
      </c>
      <c r="AB528" s="12">
        <v>111360</v>
      </c>
      <c r="AC528" s="12">
        <v>111270</v>
      </c>
      <c r="AD528" s="12">
        <v>111290</v>
      </c>
      <c r="AE528" s="11">
        <v>110930</v>
      </c>
      <c r="AF528" s="11">
        <v>110940</v>
      </c>
      <c r="AG528" s="11">
        <v>110880</v>
      </c>
      <c r="AH528" s="11">
        <v>110890</v>
      </c>
    </row>
    <row r="529" spans="19:34" x14ac:dyDescent="0.25">
      <c r="S529" s="12">
        <v>107820</v>
      </c>
      <c r="T529" s="12">
        <v>107820</v>
      </c>
      <c r="U529" s="12">
        <v>107820</v>
      </c>
      <c r="V529" s="12">
        <v>107820</v>
      </c>
      <c r="W529" s="11">
        <v>116700</v>
      </c>
      <c r="X529" s="11">
        <v>116800</v>
      </c>
      <c r="Y529" s="11">
        <v>116700</v>
      </c>
      <c r="Z529" s="11">
        <v>116790</v>
      </c>
      <c r="AA529" s="11">
        <v>111290</v>
      </c>
      <c r="AB529" s="11">
        <v>111320</v>
      </c>
      <c r="AC529" s="11">
        <v>111210</v>
      </c>
      <c r="AD529" s="11">
        <v>111250</v>
      </c>
      <c r="AE529" s="12">
        <v>110890</v>
      </c>
      <c r="AF529" s="12">
        <v>110960</v>
      </c>
      <c r="AG529" s="12">
        <v>110870</v>
      </c>
      <c r="AH529" s="12">
        <v>110940</v>
      </c>
    </row>
    <row r="530" spans="19:34" x14ac:dyDescent="0.25">
      <c r="S530" s="11">
        <v>107870</v>
      </c>
      <c r="T530" s="11">
        <v>107870</v>
      </c>
      <c r="U530" s="11">
        <v>107870</v>
      </c>
      <c r="V530" s="11">
        <v>107870</v>
      </c>
      <c r="W530" s="12">
        <v>116790</v>
      </c>
      <c r="X530" s="12">
        <v>116940</v>
      </c>
      <c r="Y530" s="12">
        <v>116780</v>
      </c>
      <c r="Z530" s="12">
        <v>116870</v>
      </c>
      <c r="AA530" s="12">
        <v>111250</v>
      </c>
      <c r="AB530" s="12">
        <v>111320</v>
      </c>
      <c r="AC530" s="12">
        <v>111230</v>
      </c>
      <c r="AD530" s="12">
        <v>111310</v>
      </c>
      <c r="AE530" s="11">
        <v>110950</v>
      </c>
      <c r="AF530" s="11">
        <v>110950</v>
      </c>
      <c r="AG530" s="11">
        <v>110910</v>
      </c>
      <c r="AH530" s="11">
        <v>110920</v>
      </c>
    </row>
    <row r="531" spans="19:34" x14ac:dyDescent="0.25">
      <c r="S531" s="12">
        <v>107880</v>
      </c>
      <c r="T531" s="12">
        <v>107880</v>
      </c>
      <c r="U531" s="12">
        <v>107880</v>
      </c>
      <c r="V531" s="12">
        <v>107880</v>
      </c>
      <c r="W531" s="11">
        <v>116870</v>
      </c>
      <c r="X531" s="11">
        <v>116940</v>
      </c>
      <c r="Y531" s="11">
        <v>116860</v>
      </c>
      <c r="Z531" s="11">
        <v>116890</v>
      </c>
      <c r="AA531" s="11">
        <v>111290</v>
      </c>
      <c r="AB531" s="11">
        <v>111290</v>
      </c>
      <c r="AC531" s="11">
        <v>111230</v>
      </c>
      <c r="AD531" s="11">
        <v>111250</v>
      </c>
      <c r="AE531" s="12">
        <v>110930</v>
      </c>
      <c r="AF531" s="12">
        <v>110980</v>
      </c>
      <c r="AG531" s="12">
        <v>110920</v>
      </c>
      <c r="AH531" s="12">
        <v>110960</v>
      </c>
    </row>
    <row r="532" spans="19:34" x14ac:dyDescent="0.25">
      <c r="S532" s="11">
        <v>107930</v>
      </c>
      <c r="T532" s="11">
        <v>107930</v>
      </c>
      <c r="U532" s="11">
        <v>107930</v>
      </c>
      <c r="V532" s="11">
        <v>107930</v>
      </c>
      <c r="W532" s="12">
        <v>116890</v>
      </c>
      <c r="X532" s="12">
        <v>116950</v>
      </c>
      <c r="Y532" s="12">
        <v>116860</v>
      </c>
      <c r="Z532" s="12">
        <v>116900</v>
      </c>
      <c r="AA532" s="12">
        <v>111240</v>
      </c>
      <c r="AB532" s="12">
        <v>111270</v>
      </c>
      <c r="AC532" s="12">
        <v>111090</v>
      </c>
      <c r="AD532" s="12">
        <v>111130</v>
      </c>
      <c r="AE532" s="11">
        <v>110970</v>
      </c>
      <c r="AF532" s="11">
        <v>111030</v>
      </c>
      <c r="AG532" s="11">
        <v>110950</v>
      </c>
      <c r="AH532" s="11">
        <v>111000</v>
      </c>
    </row>
    <row r="533" spans="19:34" x14ac:dyDescent="0.25">
      <c r="S533" s="12">
        <v>107930</v>
      </c>
      <c r="T533" s="12">
        <v>108020</v>
      </c>
      <c r="U533" s="12">
        <v>107930</v>
      </c>
      <c r="V533" s="12">
        <v>107990</v>
      </c>
      <c r="W533" s="11">
        <v>116900</v>
      </c>
      <c r="X533" s="11">
        <v>116990</v>
      </c>
      <c r="Y533" s="11">
        <v>116890</v>
      </c>
      <c r="Z533" s="11">
        <v>116970</v>
      </c>
      <c r="AA533" s="11">
        <v>111130</v>
      </c>
      <c r="AB533" s="11">
        <v>111230</v>
      </c>
      <c r="AC533" s="11">
        <v>111120</v>
      </c>
      <c r="AD533" s="11">
        <v>111160</v>
      </c>
      <c r="AE533" s="12">
        <v>110990</v>
      </c>
      <c r="AF533" s="12">
        <v>111040</v>
      </c>
      <c r="AG533" s="12">
        <v>110990</v>
      </c>
      <c r="AH533" s="12">
        <v>111010</v>
      </c>
    </row>
    <row r="534" spans="19:34" x14ac:dyDescent="0.25">
      <c r="S534" s="11">
        <v>108000</v>
      </c>
      <c r="T534" s="11">
        <v>108000</v>
      </c>
      <c r="U534" s="11">
        <v>108000</v>
      </c>
      <c r="V534" s="11">
        <v>108000</v>
      </c>
      <c r="W534" s="12">
        <v>116970</v>
      </c>
      <c r="X534" s="12">
        <v>116990</v>
      </c>
      <c r="Y534" s="12">
        <v>116870</v>
      </c>
      <c r="Z534" s="12">
        <v>116870</v>
      </c>
      <c r="AA534" s="12">
        <v>111170</v>
      </c>
      <c r="AB534" s="12">
        <v>111200</v>
      </c>
      <c r="AC534" s="12">
        <v>111120</v>
      </c>
      <c r="AD534" s="12">
        <v>111160</v>
      </c>
      <c r="AE534" s="11">
        <v>111000</v>
      </c>
      <c r="AF534" s="11">
        <v>111040</v>
      </c>
      <c r="AG534" s="11">
        <v>110980</v>
      </c>
      <c r="AH534" s="11">
        <v>111010</v>
      </c>
    </row>
    <row r="535" spans="19:34" x14ac:dyDescent="0.25">
      <c r="S535" s="12">
        <v>108000</v>
      </c>
      <c r="T535" s="12">
        <v>108050</v>
      </c>
      <c r="U535" s="12">
        <v>108000</v>
      </c>
      <c r="V535" s="12">
        <v>108050</v>
      </c>
      <c r="W535" s="11">
        <v>116870</v>
      </c>
      <c r="X535" s="11">
        <v>116880</v>
      </c>
      <c r="Y535" s="11">
        <v>116780</v>
      </c>
      <c r="Z535" s="11">
        <v>116830</v>
      </c>
      <c r="AA535" s="11">
        <v>111160</v>
      </c>
      <c r="AB535" s="11">
        <v>111280</v>
      </c>
      <c r="AC535" s="11">
        <v>111150</v>
      </c>
      <c r="AD535" s="11">
        <v>111260</v>
      </c>
      <c r="AE535" s="12">
        <v>111010</v>
      </c>
      <c r="AF535" s="12">
        <v>111010</v>
      </c>
      <c r="AG535" s="12">
        <v>110970</v>
      </c>
      <c r="AH535" s="12">
        <v>110970</v>
      </c>
    </row>
    <row r="536" spans="19:34" x14ac:dyDescent="0.25">
      <c r="S536" s="11">
        <v>108050</v>
      </c>
      <c r="T536" s="11">
        <v>108050</v>
      </c>
      <c r="U536" s="11">
        <v>108050</v>
      </c>
      <c r="V536" s="11">
        <v>108050</v>
      </c>
      <c r="W536" s="12">
        <v>116840</v>
      </c>
      <c r="X536" s="12">
        <v>116840</v>
      </c>
      <c r="Y536" s="12">
        <v>116770</v>
      </c>
      <c r="Z536" s="12">
        <v>116800</v>
      </c>
      <c r="AA536" s="12">
        <v>111260</v>
      </c>
      <c r="AB536" s="12">
        <v>111270</v>
      </c>
      <c r="AC536" s="12">
        <v>111230</v>
      </c>
      <c r="AD536" s="12">
        <v>111240</v>
      </c>
      <c r="AE536" s="11">
        <v>110980</v>
      </c>
      <c r="AF536" s="11">
        <v>110990</v>
      </c>
      <c r="AG536" s="11">
        <v>110960</v>
      </c>
      <c r="AH536" s="11">
        <v>110970</v>
      </c>
    </row>
    <row r="537" spans="19:34" x14ac:dyDescent="0.25">
      <c r="S537" s="12">
        <v>108050</v>
      </c>
      <c r="T537" s="12">
        <v>108050</v>
      </c>
      <c r="U537" s="12">
        <v>108050</v>
      </c>
      <c r="V537" s="12">
        <v>108050</v>
      </c>
      <c r="W537" s="11">
        <v>116800</v>
      </c>
      <c r="X537" s="11">
        <v>116810</v>
      </c>
      <c r="Y537" s="11">
        <v>116780</v>
      </c>
      <c r="Z537" s="11">
        <v>116800</v>
      </c>
      <c r="AA537" s="11">
        <v>111240</v>
      </c>
      <c r="AB537" s="11">
        <v>111280</v>
      </c>
      <c r="AC537" s="11">
        <v>111210</v>
      </c>
      <c r="AD537" s="11">
        <v>111270</v>
      </c>
      <c r="AE537" s="12">
        <v>110980</v>
      </c>
      <c r="AF537" s="12">
        <v>111030</v>
      </c>
      <c r="AG537" s="12">
        <v>110970</v>
      </c>
      <c r="AH537" s="12">
        <v>110990</v>
      </c>
    </row>
    <row r="538" spans="19:34" x14ac:dyDescent="0.25">
      <c r="S538" s="11">
        <v>108050</v>
      </c>
      <c r="T538" s="11">
        <v>108080</v>
      </c>
      <c r="U538" s="11">
        <v>108050</v>
      </c>
      <c r="V538" s="11">
        <v>108070</v>
      </c>
      <c r="W538" s="12">
        <v>116800</v>
      </c>
      <c r="X538" s="12">
        <v>116800</v>
      </c>
      <c r="Y538" s="12">
        <v>116750</v>
      </c>
      <c r="Z538" s="12">
        <v>116760</v>
      </c>
      <c r="AA538" s="12">
        <v>111280</v>
      </c>
      <c r="AB538" s="12">
        <v>111340</v>
      </c>
      <c r="AC538" s="12">
        <v>111270</v>
      </c>
      <c r="AD538" s="12">
        <v>111320</v>
      </c>
      <c r="AE538" s="11">
        <v>110990</v>
      </c>
      <c r="AF538" s="11">
        <v>110990</v>
      </c>
      <c r="AG538" s="11">
        <v>110950</v>
      </c>
      <c r="AH538" s="11">
        <v>110960</v>
      </c>
    </row>
    <row r="539" spans="19:34" x14ac:dyDescent="0.25">
      <c r="S539" s="12">
        <v>108080</v>
      </c>
      <c r="T539" s="12">
        <v>108100</v>
      </c>
      <c r="U539" s="12">
        <v>108070</v>
      </c>
      <c r="V539" s="12">
        <v>108070</v>
      </c>
      <c r="W539" s="11">
        <v>116760</v>
      </c>
      <c r="X539" s="11">
        <v>116780</v>
      </c>
      <c r="Y539" s="11">
        <v>116690</v>
      </c>
      <c r="Z539" s="11">
        <v>116690</v>
      </c>
      <c r="AA539" s="11">
        <v>111320</v>
      </c>
      <c r="AB539" s="11">
        <v>111340</v>
      </c>
      <c r="AC539" s="11">
        <v>111270</v>
      </c>
      <c r="AD539" s="11">
        <v>111290</v>
      </c>
      <c r="AE539" s="12">
        <v>110970</v>
      </c>
      <c r="AF539" s="12">
        <v>110990</v>
      </c>
      <c r="AG539" s="12">
        <v>110950</v>
      </c>
      <c r="AH539" s="12">
        <v>110980</v>
      </c>
    </row>
    <row r="540" spans="19:34" x14ac:dyDescent="0.25">
      <c r="S540" s="11">
        <v>108070</v>
      </c>
      <c r="T540" s="11">
        <v>108070</v>
      </c>
      <c r="U540" s="11">
        <v>108070</v>
      </c>
      <c r="V540" s="11">
        <v>108070</v>
      </c>
      <c r="W540" s="12">
        <v>116690</v>
      </c>
      <c r="X540" s="12">
        <v>116710</v>
      </c>
      <c r="Y540" s="12">
        <v>116620</v>
      </c>
      <c r="Z540" s="12">
        <v>116690</v>
      </c>
      <c r="AA540" s="12">
        <v>111270</v>
      </c>
      <c r="AB540" s="12">
        <v>111320</v>
      </c>
      <c r="AC540" s="12">
        <v>111240</v>
      </c>
      <c r="AD540" s="12">
        <v>111260</v>
      </c>
      <c r="AE540" s="11">
        <v>110990</v>
      </c>
      <c r="AF540" s="11">
        <v>111000</v>
      </c>
      <c r="AG540" s="11">
        <v>110930</v>
      </c>
      <c r="AH540" s="11">
        <v>110960</v>
      </c>
    </row>
    <row r="541" spans="19:34" x14ac:dyDescent="0.25">
      <c r="S541" s="12">
        <v>108070</v>
      </c>
      <c r="T541" s="12">
        <v>108100</v>
      </c>
      <c r="U541" s="12">
        <v>108070</v>
      </c>
      <c r="V541" s="12">
        <v>108100</v>
      </c>
      <c r="W541" s="11">
        <v>116680</v>
      </c>
      <c r="X541" s="11">
        <v>116700</v>
      </c>
      <c r="Y541" s="11">
        <v>116590</v>
      </c>
      <c r="Z541" s="11">
        <v>116600</v>
      </c>
      <c r="AA541" s="11">
        <v>111270</v>
      </c>
      <c r="AB541" s="11">
        <v>111280</v>
      </c>
      <c r="AC541" s="11">
        <v>111240</v>
      </c>
      <c r="AD541" s="11">
        <v>111260</v>
      </c>
      <c r="AE541" s="12">
        <v>110940</v>
      </c>
      <c r="AF541" s="12">
        <v>110980</v>
      </c>
      <c r="AG541" s="12">
        <v>110860</v>
      </c>
      <c r="AH541" s="12">
        <v>110880</v>
      </c>
    </row>
    <row r="542" spans="19:34" x14ac:dyDescent="0.25">
      <c r="S542" s="11">
        <v>108090</v>
      </c>
      <c r="T542" s="11">
        <v>108110</v>
      </c>
      <c r="U542" s="11">
        <v>108080</v>
      </c>
      <c r="V542" s="11">
        <v>108080</v>
      </c>
      <c r="W542" s="12">
        <v>116590</v>
      </c>
      <c r="X542" s="12">
        <v>116650</v>
      </c>
      <c r="Y542" s="12">
        <v>116570</v>
      </c>
      <c r="Z542" s="12">
        <v>116620</v>
      </c>
      <c r="AA542" s="12">
        <v>111270</v>
      </c>
      <c r="AB542" s="12">
        <v>111310</v>
      </c>
      <c r="AC542" s="12">
        <v>111140</v>
      </c>
      <c r="AD542" s="12">
        <v>111160</v>
      </c>
      <c r="AE542" s="11">
        <v>110870</v>
      </c>
      <c r="AF542" s="11">
        <v>110880</v>
      </c>
      <c r="AG542" s="11">
        <v>110750</v>
      </c>
      <c r="AH542" s="11">
        <v>110760</v>
      </c>
    </row>
    <row r="543" spans="19:34" x14ac:dyDescent="0.25">
      <c r="S543" s="12">
        <v>108070</v>
      </c>
      <c r="T543" s="12">
        <v>108130</v>
      </c>
      <c r="U543" s="12">
        <v>108070</v>
      </c>
      <c r="V543" s="12">
        <v>108130</v>
      </c>
      <c r="W543" s="11">
        <v>116630</v>
      </c>
      <c r="X543" s="11">
        <v>116640</v>
      </c>
      <c r="Y543" s="11">
        <v>116560</v>
      </c>
      <c r="Z543" s="11">
        <v>116560</v>
      </c>
      <c r="AA543" s="11">
        <v>111170</v>
      </c>
      <c r="AB543" s="11">
        <v>111200</v>
      </c>
      <c r="AC543" s="11">
        <v>111100</v>
      </c>
      <c r="AD543" s="11">
        <v>111150</v>
      </c>
      <c r="AE543" s="12">
        <v>110760</v>
      </c>
      <c r="AF543" s="12">
        <v>110840</v>
      </c>
      <c r="AG543" s="12">
        <v>110750</v>
      </c>
      <c r="AH543" s="12">
        <v>110840</v>
      </c>
    </row>
    <row r="544" spans="19:34" x14ac:dyDescent="0.25">
      <c r="S544" s="11">
        <v>108120</v>
      </c>
      <c r="T544" s="11">
        <v>108120</v>
      </c>
      <c r="U544" s="11">
        <v>108120</v>
      </c>
      <c r="V544" s="11">
        <v>108120</v>
      </c>
      <c r="W544" s="12">
        <v>116560</v>
      </c>
      <c r="X544" s="12">
        <v>116600</v>
      </c>
      <c r="Y544" s="12">
        <v>116550</v>
      </c>
      <c r="Z544" s="12">
        <v>116590</v>
      </c>
      <c r="AA544" s="12">
        <v>111160</v>
      </c>
      <c r="AB544" s="12">
        <v>111210</v>
      </c>
      <c r="AC544" s="12">
        <v>111110</v>
      </c>
      <c r="AD544" s="12">
        <v>111190</v>
      </c>
      <c r="AE544" s="11">
        <v>110820</v>
      </c>
      <c r="AF544" s="11">
        <v>110890</v>
      </c>
      <c r="AG544" s="11">
        <v>110800</v>
      </c>
      <c r="AH544" s="11">
        <v>110870</v>
      </c>
    </row>
    <row r="545" spans="19:34" x14ac:dyDescent="0.25">
      <c r="S545" s="12">
        <v>108120</v>
      </c>
      <c r="T545" s="12">
        <v>108120</v>
      </c>
      <c r="U545" s="12">
        <v>108120</v>
      </c>
      <c r="V545" s="12">
        <v>108120</v>
      </c>
      <c r="W545" s="11">
        <v>116580</v>
      </c>
      <c r="X545" s="11">
        <v>116590</v>
      </c>
      <c r="Y545" s="11">
        <v>116560</v>
      </c>
      <c r="Z545" s="11">
        <v>116580</v>
      </c>
      <c r="AA545" s="11">
        <v>111190</v>
      </c>
      <c r="AB545" s="11">
        <v>111210</v>
      </c>
      <c r="AC545" s="11">
        <v>111110</v>
      </c>
      <c r="AD545" s="11">
        <v>111150</v>
      </c>
      <c r="AE545" s="12">
        <v>110880</v>
      </c>
      <c r="AF545" s="12">
        <v>110910</v>
      </c>
      <c r="AG545" s="12">
        <v>110840</v>
      </c>
      <c r="AH545" s="12">
        <v>110900</v>
      </c>
    </row>
    <row r="546" spans="19:34" x14ac:dyDescent="0.25">
      <c r="S546" s="11">
        <v>108140</v>
      </c>
      <c r="T546" s="11">
        <v>108150</v>
      </c>
      <c r="U546" s="11">
        <v>108140</v>
      </c>
      <c r="V546" s="11">
        <v>108150</v>
      </c>
      <c r="W546" s="12">
        <v>116580</v>
      </c>
      <c r="X546" s="12">
        <v>116620</v>
      </c>
      <c r="Y546" s="12">
        <v>116560</v>
      </c>
      <c r="Z546" s="12">
        <v>116610</v>
      </c>
      <c r="AA546" s="12">
        <v>111160</v>
      </c>
      <c r="AB546" s="12">
        <v>111180</v>
      </c>
      <c r="AC546" s="12">
        <v>111030</v>
      </c>
      <c r="AD546" s="12">
        <v>111090</v>
      </c>
      <c r="AE546" s="11">
        <v>110900</v>
      </c>
      <c r="AF546" s="11">
        <v>110910</v>
      </c>
      <c r="AG546" s="11">
        <v>110840</v>
      </c>
      <c r="AH546" s="11">
        <v>110850</v>
      </c>
    </row>
    <row r="547" spans="19:34" x14ac:dyDescent="0.25">
      <c r="S547" s="12">
        <v>108120</v>
      </c>
      <c r="T547" s="12">
        <v>108140</v>
      </c>
      <c r="U547" s="12">
        <v>108110</v>
      </c>
      <c r="V547" s="12">
        <v>108140</v>
      </c>
      <c r="W547" s="11">
        <v>116600</v>
      </c>
      <c r="X547" s="11">
        <v>116650</v>
      </c>
      <c r="Y547" s="11">
        <v>116510</v>
      </c>
      <c r="Z547" s="11">
        <v>116520</v>
      </c>
      <c r="AA547" s="11">
        <v>111100</v>
      </c>
      <c r="AB547" s="11">
        <v>111150</v>
      </c>
      <c r="AC547" s="11">
        <v>111050</v>
      </c>
      <c r="AD547" s="11">
        <v>111100</v>
      </c>
      <c r="AE547" s="12">
        <v>110840</v>
      </c>
      <c r="AF547" s="12">
        <v>110910</v>
      </c>
      <c r="AG547" s="12">
        <v>110810</v>
      </c>
      <c r="AH547" s="12">
        <v>110830</v>
      </c>
    </row>
    <row r="548" spans="19:34" x14ac:dyDescent="0.25">
      <c r="S548" s="11">
        <v>108120</v>
      </c>
      <c r="T548" s="11">
        <v>108140</v>
      </c>
      <c r="U548" s="11">
        <v>108120</v>
      </c>
      <c r="V548" s="11">
        <v>108140</v>
      </c>
      <c r="W548" s="12">
        <v>116520</v>
      </c>
      <c r="X548" s="12">
        <v>116540</v>
      </c>
      <c r="Y548" s="12">
        <v>116470</v>
      </c>
      <c r="Z548" s="12">
        <v>116490</v>
      </c>
      <c r="AA548" s="12">
        <v>111090</v>
      </c>
      <c r="AB548" s="12">
        <v>111110</v>
      </c>
      <c r="AC548" s="12">
        <v>111060</v>
      </c>
      <c r="AD548" s="12">
        <v>111060</v>
      </c>
      <c r="AE548" s="11">
        <v>110810</v>
      </c>
      <c r="AF548" s="11">
        <v>110920</v>
      </c>
      <c r="AG548" s="11">
        <v>110810</v>
      </c>
      <c r="AH548" s="11">
        <v>110830</v>
      </c>
    </row>
    <row r="549" spans="19:34" x14ac:dyDescent="0.25">
      <c r="S549" s="12">
        <v>108140</v>
      </c>
      <c r="T549" s="12">
        <v>108140</v>
      </c>
      <c r="U549" s="12">
        <v>108120</v>
      </c>
      <c r="V549" s="12">
        <v>108130</v>
      </c>
      <c r="W549" s="11">
        <v>116480</v>
      </c>
      <c r="X549" s="11">
        <v>116510</v>
      </c>
      <c r="Y549" s="11">
        <v>116450</v>
      </c>
      <c r="Z549" s="11">
        <v>116500</v>
      </c>
      <c r="AA549" s="11">
        <v>111070</v>
      </c>
      <c r="AB549" s="11">
        <v>111130</v>
      </c>
      <c r="AC549" s="11">
        <v>111070</v>
      </c>
      <c r="AD549" s="11">
        <v>111110</v>
      </c>
      <c r="AE549" s="12">
        <v>110830</v>
      </c>
      <c r="AF549" s="12">
        <v>110900</v>
      </c>
      <c r="AG549" s="12">
        <v>110830</v>
      </c>
      <c r="AH549" s="12">
        <v>110870</v>
      </c>
    </row>
    <row r="550" spans="19:34" x14ac:dyDescent="0.25">
      <c r="S550" s="11">
        <v>108140</v>
      </c>
      <c r="T550" s="11">
        <v>108140</v>
      </c>
      <c r="U550" s="11">
        <v>108140</v>
      </c>
      <c r="V550" s="11">
        <v>108140</v>
      </c>
      <c r="W550" s="12">
        <v>116510</v>
      </c>
      <c r="X550" s="12">
        <v>116560</v>
      </c>
      <c r="Y550" s="12">
        <v>116500</v>
      </c>
      <c r="Z550" s="12">
        <v>116520</v>
      </c>
      <c r="AA550" s="12">
        <v>111120</v>
      </c>
      <c r="AB550" s="12">
        <v>111140</v>
      </c>
      <c r="AC550" s="12">
        <v>111050</v>
      </c>
      <c r="AD550" s="12">
        <v>111110</v>
      </c>
      <c r="AE550" s="11">
        <v>110880</v>
      </c>
      <c r="AF550" s="11">
        <v>110900</v>
      </c>
      <c r="AG550" s="11">
        <v>110870</v>
      </c>
      <c r="AH550" s="11">
        <v>110880</v>
      </c>
    </row>
    <row r="551" spans="19:34" x14ac:dyDescent="0.25">
      <c r="S551" s="12">
        <v>108140</v>
      </c>
      <c r="T551" s="12">
        <v>108140</v>
      </c>
      <c r="U551" s="12">
        <v>108140</v>
      </c>
      <c r="V551" s="12">
        <v>108140</v>
      </c>
      <c r="W551" s="11">
        <v>116510</v>
      </c>
      <c r="X551" s="11">
        <v>116550</v>
      </c>
      <c r="Y551" s="11">
        <v>116500</v>
      </c>
      <c r="Z551" s="11">
        <v>116550</v>
      </c>
      <c r="AA551" s="11">
        <v>111100</v>
      </c>
      <c r="AB551" s="11">
        <v>111170</v>
      </c>
      <c r="AC551" s="11">
        <v>111060</v>
      </c>
      <c r="AD551" s="11">
        <v>111140</v>
      </c>
      <c r="AE551" s="12">
        <v>110900</v>
      </c>
      <c r="AF551" s="12">
        <v>110920</v>
      </c>
      <c r="AG551" s="12">
        <v>110810</v>
      </c>
      <c r="AH551" s="12">
        <v>110820</v>
      </c>
    </row>
    <row r="552" spans="19:34" x14ac:dyDescent="0.25">
      <c r="S552" s="11">
        <v>108140</v>
      </c>
      <c r="T552" s="11">
        <v>108140</v>
      </c>
      <c r="U552" s="11">
        <v>108140</v>
      </c>
      <c r="V552" s="11">
        <v>108140</v>
      </c>
      <c r="W552" s="12">
        <v>116550</v>
      </c>
      <c r="X552" s="12">
        <v>116610</v>
      </c>
      <c r="Y552" s="12">
        <v>116520</v>
      </c>
      <c r="Z552" s="12">
        <v>116550</v>
      </c>
      <c r="AA552" s="12">
        <v>111130</v>
      </c>
      <c r="AB552" s="12">
        <v>111140</v>
      </c>
      <c r="AC552" s="12">
        <v>111090</v>
      </c>
      <c r="AD552" s="12">
        <v>111120</v>
      </c>
      <c r="AE552" s="11">
        <v>110820</v>
      </c>
      <c r="AF552" s="11">
        <v>110850</v>
      </c>
      <c r="AG552" s="11">
        <v>110820</v>
      </c>
      <c r="AH552" s="11">
        <v>110850</v>
      </c>
    </row>
    <row r="553" spans="19:34" x14ac:dyDescent="0.25">
      <c r="S553" s="12">
        <v>108130</v>
      </c>
      <c r="T553" s="12">
        <v>108130</v>
      </c>
      <c r="U553" s="12">
        <v>108130</v>
      </c>
      <c r="V553" s="12">
        <v>108130</v>
      </c>
      <c r="W553" s="11">
        <v>116540</v>
      </c>
      <c r="X553" s="11">
        <v>116590</v>
      </c>
      <c r="Y553" s="11">
        <v>116530</v>
      </c>
      <c r="Z553" s="11">
        <v>116570</v>
      </c>
      <c r="AA553" s="11">
        <v>111130</v>
      </c>
      <c r="AB553" s="11">
        <v>111170</v>
      </c>
      <c r="AC553" s="11">
        <v>111110</v>
      </c>
      <c r="AD553" s="11">
        <v>111120</v>
      </c>
      <c r="AE553" s="12">
        <v>110850</v>
      </c>
      <c r="AF553" s="12">
        <v>110850</v>
      </c>
      <c r="AG553" s="12">
        <v>110810</v>
      </c>
      <c r="AH553" s="12">
        <v>110830</v>
      </c>
    </row>
    <row r="554" spans="19:34" x14ac:dyDescent="0.25">
      <c r="S554" s="11">
        <v>108070</v>
      </c>
      <c r="T554" s="11">
        <v>108080</v>
      </c>
      <c r="U554" s="11">
        <v>108070</v>
      </c>
      <c r="V554" s="11">
        <v>108080</v>
      </c>
      <c r="W554" s="12">
        <v>116570</v>
      </c>
      <c r="X554" s="12">
        <v>116640</v>
      </c>
      <c r="Y554" s="12">
        <v>116570</v>
      </c>
      <c r="Z554" s="12">
        <v>116610</v>
      </c>
      <c r="AA554" s="12">
        <v>111130</v>
      </c>
      <c r="AB554" s="12">
        <v>111140</v>
      </c>
      <c r="AC554" s="12">
        <v>111060</v>
      </c>
      <c r="AD554" s="12">
        <v>111100</v>
      </c>
      <c r="AE554" s="11">
        <v>110820</v>
      </c>
      <c r="AF554" s="11">
        <v>110830</v>
      </c>
      <c r="AG554" s="11">
        <v>110760</v>
      </c>
      <c r="AH554" s="11">
        <v>110760</v>
      </c>
    </row>
    <row r="555" spans="19:34" x14ac:dyDescent="0.25">
      <c r="S555" s="12">
        <v>108160</v>
      </c>
      <c r="T555" s="12">
        <v>108200</v>
      </c>
      <c r="U555" s="12">
        <v>108160</v>
      </c>
      <c r="V555" s="12">
        <v>108200</v>
      </c>
      <c r="W555" s="11">
        <v>116610</v>
      </c>
      <c r="X555" s="11">
        <v>116610</v>
      </c>
      <c r="Y555" s="11">
        <v>116560</v>
      </c>
      <c r="Z555" s="11">
        <v>116560</v>
      </c>
      <c r="AA555" s="11">
        <v>111110</v>
      </c>
      <c r="AB555" s="11">
        <v>111150</v>
      </c>
      <c r="AC555" s="11">
        <v>111080</v>
      </c>
      <c r="AD555" s="11">
        <v>111100</v>
      </c>
      <c r="AE555" s="12">
        <v>110780</v>
      </c>
      <c r="AF555" s="12">
        <v>110820</v>
      </c>
      <c r="AG555" s="12">
        <v>110780</v>
      </c>
      <c r="AH555" s="12">
        <v>110810</v>
      </c>
    </row>
    <row r="556" spans="19:34" x14ac:dyDescent="0.25">
      <c r="S556" s="11">
        <v>108170</v>
      </c>
      <c r="T556" s="11">
        <v>108170</v>
      </c>
      <c r="U556" s="11">
        <v>108170</v>
      </c>
      <c r="V556" s="11">
        <v>108170</v>
      </c>
      <c r="W556" s="12">
        <v>116570</v>
      </c>
      <c r="X556" s="12">
        <v>116580</v>
      </c>
      <c r="Y556" s="12">
        <v>116550</v>
      </c>
      <c r="Z556" s="12">
        <v>116570</v>
      </c>
      <c r="AA556" s="12">
        <v>111100</v>
      </c>
      <c r="AB556" s="12">
        <v>111110</v>
      </c>
      <c r="AC556" s="12">
        <v>111050</v>
      </c>
      <c r="AD556" s="12">
        <v>111050</v>
      </c>
      <c r="AE556" s="11">
        <v>110810</v>
      </c>
      <c r="AF556" s="11">
        <v>110840</v>
      </c>
      <c r="AG556" s="11">
        <v>110790</v>
      </c>
      <c r="AH556" s="11">
        <v>110830</v>
      </c>
    </row>
    <row r="557" spans="19:34" x14ac:dyDescent="0.25">
      <c r="S557" s="12">
        <v>108170</v>
      </c>
      <c r="T557" s="12">
        <v>108170</v>
      </c>
      <c r="U557" s="12">
        <v>108170</v>
      </c>
      <c r="V557" s="12">
        <v>108170</v>
      </c>
      <c r="W557" s="11">
        <v>116570</v>
      </c>
      <c r="X557" s="11">
        <v>116600</v>
      </c>
      <c r="Y557" s="11">
        <v>116550</v>
      </c>
      <c r="Z557" s="11">
        <v>116550</v>
      </c>
      <c r="AA557" s="11">
        <v>111060</v>
      </c>
      <c r="AB557" s="11">
        <v>111120</v>
      </c>
      <c r="AC557" s="11">
        <v>111050</v>
      </c>
      <c r="AD557" s="11">
        <v>111120</v>
      </c>
      <c r="AE557" s="12">
        <v>110820</v>
      </c>
      <c r="AF557" s="12">
        <v>110840</v>
      </c>
      <c r="AG557" s="12">
        <v>110800</v>
      </c>
      <c r="AH557" s="12">
        <v>110840</v>
      </c>
    </row>
    <row r="558" spans="19:34" x14ac:dyDescent="0.25">
      <c r="S558" s="11">
        <v>108140</v>
      </c>
      <c r="T558" s="11">
        <v>108170</v>
      </c>
      <c r="U558" s="11">
        <v>108140</v>
      </c>
      <c r="V558" s="11">
        <v>108170</v>
      </c>
      <c r="W558" s="12">
        <v>116570</v>
      </c>
      <c r="X558" s="12">
        <v>116610</v>
      </c>
      <c r="Y558" s="12">
        <v>116570</v>
      </c>
      <c r="Z558" s="12">
        <v>116610</v>
      </c>
      <c r="AA558" s="12">
        <v>111120</v>
      </c>
      <c r="AB558" s="12">
        <v>111130</v>
      </c>
      <c r="AC558" s="12">
        <v>111060</v>
      </c>
      <c r="AD558" s="12">
        <v>111080</v>
      </c>
      <c r="AE558" s="11">
        <v>110830</v>
      </c>
      <c r="AF558" s="11">
        <v>110850</v>
      </c>
      <c r="AG558" s="11">
        <v>110820</v>
      </c>
      <c r="AH558" s="11">
        <v>110840</v>
      </c>
    </row>
    <row r="559" spans="19:34" x14ac:dyDescent="0.25">
      <c r="S559" s="12">
        <v>108150</v>
      </c>
      <c r="T559" s="12">
        <v>108150</v>
      </c>
      <c r="U559" s="12">
        <v>108150</v>
      </c>
      <c r="V559" s="12">
        <v>108150</v>
      </c>
      <c r="W559" s="11">
        <v>116610</v>
      </c>
      <c r="X559" s="11">
        <v>116640</v>
      </c>
      <c r="Y559" s="11">
        <v>116570</v>
      </c>
      <c r="Z559" s="11">
        <v>116580</v>
      </c>
      <c r="AA559" s="11">
        <v>111080</v>
      </c>
      <c r="AB559" s="11">
        <v>111110</v>
      </c>
      <c r="AC559" s="11">
        <v>111060</v>
      </c>
      <c r="AD559" s="11">
        <v>111060</v>
      </c>
      <c r="AE559" s="12">
        <v>110830</v>
      </c>
      <c r="AF559" s="12">
        <v>110920</v>
      </c>
      <c r="AG559" s="12">
        <v>110830</v>
      </c>
      <c r="AH559" s="12">
        <v>110890</v>
      </c>
    </row>
    <row r="560" spans="19:34" x14ac:dyDescent="0.25">
      <c r="S560" s="11">
        <v>108140</v>
      </c>
      <c r="T560" s="11">
        <v>108140</v>
      </c>
      <c r="U560" s="11">
        <v>108130</v>
      </c>
      <c r="V560" s="11">
        <v>108140</v>
      </c>
      <c r="W560" s="12">
        <v>116600</v>
      </c>
      <c r="X560" s="12">
        <v>116600</v>
      </c>
      <c r="Y560" s="12">
        <v>116530</v>
      </c>
      <c r="Z560" s="12">
        <v>116550</v>
      </c>
      <c r="AA560" s="12">
        <v>111070</v>
      </c>
      <c r="AB560" s="12">
        <v>111090</v>
      </c>
      <c r="AC560" s="12">
        <v>111030</v>
      </c>
      <c r="AD560" s="12">
        <v>111080</v>
      </c>
      <c r="AE560" s="11">
        <v>110890</v>
      </c>
      <c r="AF560" s="11">
        <v>110910</v>
      </c>
      <c r="AG560" s="11">
        <v>110860</v>
      </c>
      <c r="AH560" s="11">
        <v>110890</v>
      </c>
    </row>
    <row r="561" spans="19:34" x14ac:dyDescent="0.25">
      <c r="S561" s="12">
        <v>108140</v>
      </c>
      <c r="T561" s="12">
        <v>108140</v>
      </c>
      <c r="U561" s="12">
        <v>108080</v>
      </c>
      <c r="V561" s="12">
        <v>108100</v>
      </c>
      <c r="W561" s="11">
        <v>116550</v>
      </c>
      <c r="X561" s="11">
        <v>116550</v>
      </c>
      <c r="Y561" s="11">
        <v>116520</v>
      </c>
      <c r="Z561" s="11">
        <v>116540</v>
      </c>
      <c r="AA561" s="11">
        <v>111080</v>
      </c>
      <c r="AB561" s="11">
        <v>111140</v>
      </c>
      <c r="AC561" s="11">
        <v>111080</v>
      </c>
      <c r="AD561" s="11">
        <v>111090</v>
      </c>
      <c r="AE561" s="12">
        <v>110880</v>
      </c>
      <c r="AF561" s="12">
        <v>110880</v>
      </c>
      <c r="AG561" s="12">
        <v>110840</v>
      </c>
      <c r="AH561" s="12">
        <v>110850</v>
      </c>
    </row>
    <row r="562" spans="19:34" x14ac:dyDescent="0.25">
      <c r="S562" s="11">
        <v>108090</v>
      </c>
      <c r="T562" s="11">
        <v>108120</v>
      </c>
      <c r="U562" s="11">
        <v>108090</v>
      </c>
      <c r="V562" s="11">
        <v>108100</v>
      </c>
      <c r="W562" s="12">
        <v>116530</v>
      </c>
      <c r="X562" s="12">
        <v>116560</v>
      </c>
      <c r="Y562" s="12">
        <v>116520</v>
      </c>
      <c r="Z562" s="12">
        <v>116550</v>
      </c>
      <c r="AA562" s="12">
        <v>111100</v>
      </c>
      <c r="AB562" s="12">
        <v>111110</v>
      </c>
      <c r="AC562" s="12">
        <v>110970</v>
      </c>
      <c r="AD562" s="12">
        <v>110970</v>
      </c>
      <c r="AE562" s="11">
        <v>110840</v>
      </c>
      <c r="AF562" s="11">
        <v>110850</v>
      </c>
      <c r="AG562" s="11">
        <v>110770</v>
      </c>
      <c r="AH562" s="11">
        <v>110800</v>
      </c>
    </row>
    <row r="563" spans="19:34" x14ac:dyDescent="0.25">
      <c r="S563" s="12">
        <v>108100</v>
      </c>
      <c r="T563" s="12">
        <v>108180</v>
      </c>
      <c r="U563" s="12">
        <v>108100</v>
      </c>
      <c r="V563" s="12">
        <v>108180</v>
      </c>
      <c r="W563" s="11">
        <v>116550</v>
      </c>
      <c r="X563" s="11">
        <v>116590</v>
      </c>
      <c r="Y563" s="11">
        <v>116540</v>
      </c>
      <c r="Z563" s="11">
        <v>116590</v>
      </c>
      <c r="AA563" s="11">
        <v>110970</v>
      </c>
      <c r="AB563" s="11">
        <v>110990</v>
      </c>
      <c r="AC563" s="11">
        <v>110930</v>
      </c>
      <c r="AD563" s="11">
        <v>110940</v>
      </c>
      <c r="AE563" s="12">
        <v>110800</v>
      </c>
      <c r="AF563" s="12">
        <v>110840</v>
      </c>
      <c r="AG563" s="12">
        <v>110800</v>
      </c>
      <c r="AH563" s="12">
        <v>110830</v>
      </c>
    </row>
    <row r="564" spans="19:34" x14ac:dyDescent="0.25">
      <c r="S564" s="11">
        <v>108130</v>
      </c>
      <c r="T564" s="11">
        <v>108130</v>
      </c>
      <c r="U564" s="11">
        <v>108130</v>
      </c>
      <c r="V564" s="11">
        <v>108130</v>
      </c>
      <c r="W564" s="12">
        <v>116570</v>
      </c>
      <c r="X564" s="12">
        <v>116580</v>
      </c>
      <c r="Y564" s="12">
        <v>116540</v>
      </c>
      <c r="Z564" s="12">
        <v>116560</v>
      </c>
      <c r="AA564" s="12">
        <v>110940</v>
      </c>
      <c r="AB564" s="12">
        <v>110960</v>
      </c>
      <c r="AC564" s="12">
        <v>110920</v>
      </c>
      <c r="AD564" s="12">
        <v>110960</v>
      </c>
      <c r="AE564" s="11">
        <v>110820</v>
      </c>
      <c r="AF564" s="11">
        <v>110870</v>
      </c>
      <c r="AG564" s="11">
        <v>110800</v>
      </c>
      <c r="AH564" s="11">
        <v>110830</v>
      </c>
    </row>
    <row r="565" spans="19:34" x14ac:dyDescent="0.25">
      <c r="S565" s="12">
        <v>108110</v>
      </c>
      <c r="T565" s="12">
        <v>108110</v>
      </c>
      <c r="U565" s="12">
        <v>108090</v>
      </c>
      <c r="V565" s="12">
        <v>108090</v>
      </c>
      <c r="W565" s="11">
        <v>116550</v>
      </c>
      <c r="X565" s="11">
        <v>116600</v>
      </c>
      <c r="Y565" s="11">
        <v>116550</v>
      </c>
      <c r="Z565" s="11">
        <v>116570</v>
      </c>
      <c r="AA565" s="11">
        <v>110960</v>
      </c>
      <c r="AB565" s="11">
        <v>111000</v>
      </c>
      <c r="AC565" s="11">
        <v>110950</v>
      </c>
      <c r="AD565" s="11">
        <v>110980</v>
      </c>
      <c r="AE565" s="12">
        <v>110830</v>
      </c>
      <c r="AF565" s="12">
        <v>110850</v>
      </c>
      <c r="AG565" s="12">
        <v>110820</v>
      </c>
      <c r="AH565" s="12">
        <v>110850</v>
      </c>
    </row>
    <row r="566" spans="19:34" x14ac:dyDescent="0.25">
      <c r="S566" s="11">
        <v>108100</v>
      </c>
      <c r="T566" s="11">
        <v>108100</v>
      </c>
      <c r="U566" s="11">
        <v>108100</v>
      </c>
      <c r="V566" s="11">
        <v>108100</v>
      </c>
      <c r="W566" s="12">
        <v>116580</v>
      </c>
      <c r="X566" s="12">
        <v>116630</v>
      </c>
      <c r="Y566" s="12">
        <v>116570</v>
      </c>
      <c r="Z566" s="12">
        <v>116600</v>
      </c>
      <c r="AA566" s="12">
        <v>110990</v>
      </c>
      <c r="AB566" s="12">
        <v>111030</v>
      </c>
      <c r="AC566" s="12">
        <v>110980</v>
      </c>
      <c r="AD566" s="12">
        <v>111000</v>
      </c>
      <c r="AE566" s="11">
        <v>110850</v>
      </c>
      <c r="AF566" s="11">
        <v>110850</v>
      </c>
      <c r="AG566" s="11">
        <v>110790</v>
      </c>
      <c r="AH566" s="11">
        <v>110790</v>
      </c>
    </row>
    <row r="567" spans="19:34" x14ac:dyDescent="0.25">
      <c r="S567" s="12">
        <v>108090</v>
      </c>
      <c r="T567" s="12">
        <v>108090</v>
      </c>
      <c r="U567" s="12">
        <v>108090</v>
      </c>
      <c r="V567" s="12">
        <v>108090</v>
      </c>
      <c r="W567" s="11">
        <v>116590</v>
      </c>
      <c r="X567" s="11">
        <v>116610</v>
      </c>
      <c r="Y567" s="11">
        <v>116570</v>
      </c>
      <c r="Z567" s="11">
        <v>116570</v>
      </c>
      <c r="AA567" s="11">
        <v>111000</v>
      </c>
      <c r="AB567" s="11">
        <v>111060</v>
      </c>
      <c r="AC567" s="11">
        <v>110970</v>
      </c>
      <c r="AD567" s="11">
        <v>111060</v>
      </c>
      <c r="AE567" s="12">
        <v>110790</v>
      </c>
      <c r="AF567" s="12">
        <v>110800</v>
      </c>
      <c r="AG567" s="12">
        <v>110770</v>
      </c>
      <c r="AH567" s="12">
        <v>110800</v>
      </c>
    </row>
    <row r="568" spans="19:34" x14ac:dyDescent="0.25">
      <c r="S568" s="11">
        <v>108110</v>
      </c>
      <c r="T568" s="11">
        <v>108110</v>
      </c>
      <c r="U568" s="11">
        <v>108110</v>
      </c>
      <c r="V568" s="11">
        <v>108110</v>
      </c>
      <c r="W568" s="12">
        <v>116580</v>
      </c>
      <c r="X568" s="12">
        <v>116590</v>
      </c>
      <c r="Y568" s="12">
        <v>116570</v>
      </c>
      <c r="Z568" s="12">
        <v>116580</v>
      </c>
      <c r="AA568" s="12">
        <v>111060</v>
      </c>
      <c r="AB568" s="12">
        <v>111090</v>
      </c>
      <c r="AC568" s="12">
        <v>111040</v>
      </c>
      <c r="AD568" s="12">
        <v>111060</v>
      </c>
      <c r="AE568" s="11">
        <v>110790</v>
      </c>
      <c r="AF568" s="11">
        <v>110810</v>
      </c>
      <c r="AG568" s="11">
        <v>110670</v>
      </c>
      <c r="AH568" s="11">
        <v>110700</v>
      </c>
    </row>
    <row r="569" spans="19:34" x14ac:dyDescent="0.25">
      <c r="S569" s="12">
        <v>108090</v>
      </c>
      <c r="T569" s="12">
        <v>108090</v>
      </c>
      <c r="U569" s="12">
        <v>108090</v>
      </c>
      <c r="V569" s="12">
        <v>108090</v>
      </c>
      <c r="W569" s="11">
        <v>116580</v>
      </c>
      <c r="X569" s="11">
        <v>116610</v>
      </c>
      <c r="Y569" s="11">
        <v>116560</v>
      </c>
      <c r="Z569" s="11">
        <v>116580</v>
      </c>
      <c r="AA569" s="11">
        <v>111050</v>
      </c>
      <c r="AB569" s="11">
        <v>111110</v>
      </c>
      <c r="AC569" s="11">
        <v>111050</v>
      </c>
      <c r="AD569" s="11">
        <v>111060</v>
      </c>
      <c r="AE569" s="12">
        <v>110690</v>
      </c>
      <c r="AF569" s="12">
        <v>110720</v>
      </c>
      <c r="AG569" s="12">
        <v>110520</v>
      </c>
      <c r="AH569" s="12">
        <v>110540</v>
      </c>
    </row>
    <row r="570" spans="19:34" x14ac:dyDescent="0.25">
      <c r="S570" s="11">
        <v>108090</v>
      </c>
      <c r="T570" s="11">
        <v>108090</v>
      </c>
      <c r="U570" s="11">
        <v>108090</v>
      </c>
      <c r="V570" s="11">
        <v>108090</v>
      </c>
      <c r="W570" s="12">
        <v>116570</v>
      </c>
      <c r="X570" s="12">
        <v>116580</v>
      </c>
      <c r="Y570" s="12">
        <v>116570</v>
      </c>
      <c r="Z570" s="12">
        <v>116580</v>
      </c>
      <c r="AA570" s="12">
        <v>111060</v>
      </c>
      <c r="AB570" s="12">
        <v>111250</v>
      </c>
      <c r="AC570" s="12">
        <v>111050</v>
      </c>
      <c r="AD570" s="12">
        <v>111240</v>
      </c>
      <c r="AE570" s="11">
        <v>110540</v>
      </c>
      <c r="AF570" s="11">
        <v>110620</v>
      </c>
      <c r="AG570" s="11">
        <v>110460</v>
      </c>
      <c r="AH570" s="11">
        <v>110610</v>
      </c>
    </row>
    <row r="571" spans="19:34" x14ac:dyDescent="0.25">
      <c r="S571" s="12">
        <v>108090</v>
      </c>
      <c r="T571" s="12">
        <v>108090</v>
      </c>
      <c r="U571" s="12">
        <v>108090</v>
      </c>
      <c r="V571" s="12">
        <v>108090</v>
      </c>
      <c r="W571" s="11">
        <v>116570</v>
      </c>
      <c r="X571" s="11">
        <v>116590</v>
      </c>
      <c r="Y571" s="11">
        <v>116560</v>
      </c>
      <c r="Z571" s="11">
        <v>116580</v>
      </c>
      <c r="AA571" s="11">
        <v>111250</v>
      </c>
      <c r="AB571" s="11">
        <v>111370</v>
      </c>
      <c r="AC571" s="11">
        <v>111230</v>
      </c>
      <c r="AD571" s="11">
        <v>111340</v>
      </c>
      <c r="AE571" s="12">
        <v>110610</v>
      </c>
      <c r="AF571" s="12">
        <v>110670</v>
      </c>
      <c r="AG571" s="12">
        <v>110590</v>
      </c>
      <c r="AH571" s="12">
        <v>110640</v>
      </c>
    </row>
    <row r="572" spans="19:34" x14ac:dyDescent="0.25">
      <c r="S572" s="11">
        <v>108100</v>
      </c>
      <c r="T572" s="11">
        <v>108100</v>
      </c>
      <c r="U572" s="11">
        <v>108100</v>
      </c>
      <c r="V572" s="11">
        <v>108100</v>
      </c>
      <c r="W572" s="12">
        <v>116580</v>
      </c>
      <c r="X572" s="12">
        <v>116590</v>
      </c>
      <c r="Y572" s="12">
        <v>116530</v>
      </c>
      <c r="Z572" s="12">
        <v>116540</v>
      </c>
      <c r="AA572" s="12">
        <v>111330</v>
      </c>
      <c r="AB572" s="12">
        <v>111340</v>
      </c>
      <c r="AC572" s="12">
        <v>111200</v>
      </c>
      <c r="AD572" s="12">
        <v>111210</v>
      </c>
      <c r="AE572" s="11">
        <v>110640</v>
      </c>
      <c r="AF572" s="11">
        <v>110680</v>
      </c>
      <c r="AG572" s="11">
        <v>110600</v>
      </c>
      <c r="AH572" s="11">
        <v>110670</v>
      </c>
    </row>
    <row r="573" spans="19:34" x14ac:dyDescent="0.25">
      <c r="S573" s="12">
        <v>108130</v>
      </c>
      <c r="T573" s="12">
        <v>108140</v>
      </c>
      <c r="U573" s="12">
        <v>108130</v>
      </c>
      <c r="V573" s="12">
        <v>108140</v>
      </c>
      <c r="W573" s="11">
        <v>116550</v>
      </c>
      <c r="X573" s="11">
        <v>116570</v>
      </c>
      <c r="Y573" s="11">
        <v>116540</v>
      </c>
      <c r="Z573" s="11">
        <v>116550</v>
      </c>
      <c r="AA573" s="11">
        <v>111210</v>
      </c>
      <c r="AB573" s="11">
        <v>111270</v>
      </c>
      <c r="AC573" s="11">
        <v>111180</v>
      </c>
      <c r="AD573" s="11">
        <v>111250</v>
      </c>
      <c r="AE573" s="12">
        <v>110670</v>
      </c>
      <c r="AF573" s="12">
        <v>110710</v>
      </c>
      <c r="AG573" s="12">
        <v>110660</v>
      </c>
      <c r="AH573" s="12">
        <v>110680</v>
      </c>
    </row>
    <row r="574" spans="19:34" x14ac:dyDescent="0.25">
      <c r="S574" s="11">
        <v>108160</v>
      </c>
      <c r="T574" s="11">
        <v>108160</v>
      </c>
      <c r="U574" s="11">
        <v>108160</v>
      </c>
      <c r="V574" s="11">
        <v>108160</v>
      </c>
      <c r="W574" s="12">
        <v>116560</v>
      </c>
      <c r="X574" s="12">
        <v>116570</v>
      </c>
      <c r="Y574" s="12">
        <v>116540</v>
      </c>
      <c r="Z574" s="12">
        <v>116570</v>
      </c>
      <c r="AA574" s="12">
        <v>111240</v>
      </c>
      <c r="AB574" s="12">
        <v>111390</v>
      </c>
      <c r="AC574" s="12">
        <v>111240</v>
      </c>
      <c r="AD574" s="12">
        <v>111370</v>
      </c>
      <c r="AE574" s="11">
        <v>110690</v>
      </c>
      <c r="AF574" s="11">
        <v>110720</v>
      </c>
      <c r="AG574" s="11">
        <v>110660</v>
      </c>
      <c r="AH574" s="11">
        <v>110670</v>
      </c>
    </row>
    <row r="575" spans="19:34" x14ac:dyDescent="0.25">
      <c r="S575" s="12">
        <v>108200</v>
      </c>
      <c r="T575" s="12">
        <v>108220</v>
      </c>
      <c r="U575" s="12">
        <v>108200</v>
      </c>
      <c r="V575" s="12">
        <v>108220</v>
      </c>
      <c r="W575" s="11">
        <v>116580</v>
      </c>
      <c r="X575" s="11">
        <v>116620</v>
      </c>
      <c r="Y575" s="11">
        <v>116560</v>
      </c>
      <c r="Z575" s="11">
        <v>116580</v>
      </c>
      <c r="AA575" s="11">
        <v>111380</v>
      </c>
      <c r="AB575" s="11">
        <v>111470</v>
      </c>
      <c r="AC575" s="11">
        <v>111370</v>
      </c>
      <c r="AD575" s="11">
        <v>111410</v>
      </c>
      <c r="AE575" s="12">
        <v>110660</v>
      </c>
      <c r="AF575" s="12">
        <v>110690</v>
      </c>
      <c r="AG575" s="12">
        <v>110650</v>
      </c>
      <c r="AH575" s="12">
        <v>110670</v>
      </c>
    </row>
    <row r="576" spans="19:34" x14ac:dyDescent="0.25">
      <c r="S576" s="11">
        <v>108230</v>
      </c>
      <c r="T576" s="11">
        <v>108240</v>
      </c>
      <c r="U576" s="11">
        <v>108230</v>
      </c>
      <c r="V576" s="11">
        <v>108240</v>
      </c>
      <c r="W576" s="12">
        <v>116570</v>
      </c>
      <c r="X576" s="12">
        <v>116600</v>
      </c>
      <c r="Y576" s="12">
        <v>116570</v>
      </c>
      <c r="Z576" s="12">
        <v>116590</v>
      </c>
      <c r="AA576" s="12">
        <v>111410</v>
      </c>
      <c r="AB576" s="12">
        <v>111420</v>
      </c>
      <c r="AC576" s="12">
        <v>111350</v>
      </c>
      <c r="AD576" s="12">
        <v>111410</v>
      </c>
      <c r="AE576" s="11">
        <v>110660</v>
      </c>
      <c r="AF576" s="11">
        <v>110660</v>
      </c>
      <c r="AG576" s="11">
        <v>110600</v>
      </c>
      <c r="AH576" s="11">
        <v>110640</v>
      </c>
    </row>
    <row r="577" spans="19:34" x14ac:dyDescent="0.25">
      <c r="S577" s="12">
        <v>108220</v>
      </c>
      <c r="T577" s="12">
        <v>108230</v>
      </c>
      <c r="U577" s="12">
        <v>108220</v>
      </c>
      <c r="V577" s="12">
        <v>108230</v>
      </c>
      <c r="W577" s="11">
        <v>116570</v>
      </c>
      <c r="X577" s="11">
        <v>116600</v>
      </c>
      <c r="Y577" s="11">
        <v>116570</v>
      </c>
      <c r="Z577" s="11">
        <v>116600</v>
      </c>
      <c r="AA577" s="11">
        <v>111410</v>
      </c>
      <c r="AB577" s="11">
        <v>111430</v>
      </c>
      <c r="AC577" s="11">
        <v>111260</v>
      </c>
      <c r="AD577" s="11">
        <v>111290</v>
      </c>
      <c r="AE577" s="12">
        <v>110640</v>
      </c>
      <c r="AF577" s="12">
        <v>110760</v>
      </c>
      <c r="AG577" s="12">
        <v>110640</v>
      </c>
      <c r="AH577" s="12">
        <v>110730</v>
      </c>
    </row>
    <row r="578" spans="19:34" x14ac:dyDescent="0.25">
      <c r="S578" s="11">
        <v>108250</v>
      </c>
      <c r="T578" s="11">
        <v>108260</v>
      </c>
      <c r="U578" s="11">
        <v>108220</v>
      </c>
      <c r="V578" s="11">
        <v>108220</v>
      </c>
      <c r="W578" s="12">
        <v>116590</v>
      </c>
      <c r="X578" s="12">
        <v>116600</v>
      </c>
      <c r="Y578" s="12">
        <v>116540</v>
      </c>
      <c r="Z578" s="12">
        <v>116540</v>
      </c>
      <c r="AA578" s="12">
        <v>111300</v>
      </c>
      <c r="AB578" s="12">
        <v>111320</v>
      </c>
      <c r="AC578" s="12">
        <v>111260</v>
      </c>
      <c r="AD578" s="12">
        <v>111320</v>
      </c>
      <c r="AE578" s="11">
        <v>110730</v>
      </c>
      <c r="AF578" s="11">
        <v>110780</v>
      </c>
      <c r="AG578" s="11">
        <v>110730</v>
      </c>
      <c r="AH578" s="11">
        <v>110750</v>
      </c>
    </row>
    <row r="579" spans="19:34" x14ac:dyDescent="0.25">
      <c r="S579" s="12">
        <v>108250</v>
      </c>
      <c r="T579" s="12">
        <v>108250</v>
      </c>
      <c r="U579" s="12">
        <v>108250</v>
      </c>
      <c r="V579" s="12">
        <v>108250</v>
      </c>
      <c r="W579" s="11">
        <v>116550</v>
      </c>
      <c r="X579" s="11">
        <v>116590</v>
      </c>
      <c r="Y579" s="11">
        <v>116550</v>
      </c>
      <c r="Z579" s="11">
        <v>116580</v>
      </c>
      <c r="AA579" s="11">
        <v>111330</v>
      </c>
      <c r="AB579" s="11">
        <v>111370</v>
      </c>
      <c r="AC579" s="11">
        <v>111320</v>
      </c>
      <c r="AD579" s="11">
        <v>111350</v>
      </c>
      <c r="AE579" s="12">
        <v>110740</v>
      </c>
      <c r="AF579" s="12">
        <v>110750</v>
      </c>
      <c r="AG579" s="12">
        <v>110700</v>
      </c>
      <c r="AH579" s="12">
        <v>110740</v>
      </c>
    </row>
    <row r="580" spans="19:34" x14ac:dyDescent="0.25">
      <c r="S580" s="11">
        <v>108250</v>
      </c>
      <c r="T580" s="11">
        <v>108250</v>
      </c>
      <c r="U580" s="11">
        <v>108250</v>
      </c>
      <c r="V580" s="11">
        <v>108250</v>
      </c>
      <c r="W580" s="12">
        <v>116580</v>
      </c>
      <c r="X580" s="12">
        <v>116590</v>
      </c>
      <c r="Y580" s="12">
        <v>116560</v>
      </c>
      <c r="Z580" s="12">
        <v>116570</v>
      </c>
      <c r="AA580" s="12">
        <v>111360</v>
      </c>
      <c r="AB580" s="12">
        <v>111370</v>
      </c>
      <c r="AC580" s="12">
        <v>111280</v>
      </c>
      <c r="AD580" s="12">
        <v>111290</v>
      </c>
      <c r="AE580" s="11">
        <v>110740</v>
      </c>
      <c r="AF580" s="11">
        <v>110760</v>
      </c>
      <c r="AG580" s="11">
        <v>110660</v>
      </c>
      <c r="AH580" s="11">
        <v>110740</v>
      </c>
    </row>
    <row r="581" spans="19:34" x14ac:dyDescent="0.25">
      <c r="S581" s="12">
        <v>108250</v>
      </c>
      <c r="T581" s="12">
        <v>108250</v>
      </c>
      <c r="U581" s="12">
        <v>108250</v>
      </c>
      <c r="V581" s="12">
        <v>108250</v>
      </c>
      <c r="W581" s="11">
        <v>116570</v>
      </c>
      <c r="X581" s="11">
        <v>116590</v>
      </c>
      <c r="Y581" s="11">
        <v>116570</v>
      </c>
      <c r="Z581" s="11">
        <v>116570</v>
      </c>
      <c r="AA581" s="11">
        <v>111300</v>
      </c>
      <c r="AB581" s="11">
        <v>111350</v>
      </c>
      <c r="AC581" s="11">
        <v>111290</v>
      </c>
      <c r="AD581" s="11">
        <v>111310</v>
      </c>
      <c r="AE581" s="12">
        <v>110730</v>
      </c>
      <c r="AF581" s="12">
        <v>110790</v>
      </c>
      <c r="AG581" s="12">
        <v>110730</v>
      </c>
      <c r="AH581" s="12">
        <v>110780</v>
      </c>
    </row>
    <row r="582" spans="19:34" x14ac:dyDescent="0.25">
      <c r="S582" s="11">
        <v>108260</v>
      </c>
      <c r="T582" s="11">
        <v>108260</v>
      </c>
      <c r="U582" s="11">
        <v>108250</v>
      </c>
      <c r="V582" s="11">
        <v>108250</v>
      </c>
      <c r="W582" s="12">
        <v>116570</v>
      </c>
      <c r="X582" s="12">
        <v>116580</v>
      </c>
      <c r="Y582" s="12">
        <v>116560</v>
      </c>
      <c r="Z582" s="12">
        <v>116580</v>
      </c>
      <c r="AA582" s="12">
        <v>111310</v>
      </c>
      <c r="AB582" s="12">
        <v>111310</v>
      </c>
      <c r="AC582" s="12">
        <v>111250</v>
      </c>
      <c r="AD582" s="12">
        <v>111300</v>
      </c>
      <c r="AE582" s="11">
        <v>110780</v>
      </c>
      <c r="AF582" s="11">
        <v>110800</v>
      </c>
      <c r="AG582" s="11">
        <v>110750</v>
      </c>
      <c r="AH582" s="11">
        <v>110760</v>
      </c>
    </row>
    <row r="583" spans="19:34" x14ac:dyDescent="0.25">
      <c r="S583" s="12">
        <v>108260</v>
      </c>
      <c r="T583" s="12">
        <v>108280</v>
      </c>
      <c r="U583" s="12">
        <v>108260</v>
      </c>
      <c r="V583" s="12">
        <v>108280</v>
      </c>
      <c r="W583" s="11">
        <v>116590</v>
      </c>
      <c r="X583" s="11">
        <v>116620</v>
      </c>
      <c r="Y583" s="11">
        <v>116580</v>
      </c>
      <c r="Z583" s="11">
        <v>116590</v>
      </c>
      <c r="AA583" s="11">
        <v>111310</v>
      </c>
      <c r="AB583" s="11">
        <v>111380</v>
      </c>
      <c r="AC583" s="11">
        <v>111310</v>
      </c>
      <c r="AD583" s="11">
        <v>111330</v>
      </c>
      <c r="AE583" s="12">
        <v>110760</v>
      </c>
      <c r="AF583" s="12">
        <v>110790</v>
      </c>
      <c r="AG583" s="12">
        <v>110760</v>
      </c>
      <c r="AH583" s="12">
        <v>110770</v>
      </c>
    </row>
    <row r="584" spans="19:34" x14ac:dyDescent="0.25">
      <c r="S584" s="11">
        <v>108210</v>
      </c>
      <c r="T584" s="11">
        <v>108210</v>
      </c>
      <c r="U584" s="11">
        <v>108210</v>
      </c>
      <c r="V584" s="11">
        <v>108210</v>
      </c>
      <c r="W584" s="12">
        <v>116590</v>
      </c>
      <c r="X584" s="12">
        <v>116620</v>
      </c>
      <c r="Y584" s="12">
        <v>116590</v>
      </c>
      <c r="Z584" s="12">
        <v>116600</v>
      </c>
      <c r="AA584" s="12">
        <v>111330</v>
      </c>
      <c r="AB584" s="12">
        <v>111380</v>
      </c>
      <c r="AC584" s="12">
        <v>111330</v>
      </c>
      <c r="AD584" s="12">
        <v>111350</v>
      </c>
      <c r="AE584" s="11">
        <v>110780</v>
      </c>
      <c r="AF584" s="11">
        <v>110800</v>
      </c>
      <c r="AG584" s="11">
        <v>110760</v>
      </c>
      <c r="AH584" s="11">
        <v>110770</v>
      </c>
    </row>
    <row r="585" spans="19:34" x14ac:dyDescent="0.25">
      <c r="S585" s="12">
        <v>108210</v>
      </c>
      <c r="T585" s="12">
        <v>108210</v>
      </c>
      <c r="U585" s="12">
        <v>108180</v>
      </c>
      <c r="V585" s="12">
        <v>108180</v>
      </c>
      <c r="W585" s="11">
        <v>116590</v>
      </c>
      <c r="X585" s="11">
        <v>116620</v>
      </c>
      <c r="Y585" s="11">
        <v>116590</v>
      </c>
      <c r="Z585" s="11">
        <v>116590</v>
      </c>
      <c r="AA585" s="11">
        <v>111370</v>
      </c>
      <c r="AB585" s="11">
        <v>111370</v>
      </c>
      <c r="AC585" s="11">
        <v>111290</v>
      </c>
      <c r="AD585" s="11">
        <v>111300</v>
      </c>
      <c r="AE585" s="12">
        <v>110770</v>
      </c>
      <c r="AF585" s="12">
        <v>110780</v>
      </c>
      <c r="AG585" s="12">
        <v>110750</v>
      </c>
      <c r="AH585" s="12">
        <v>110780</v>
      </c>
    </row>
    <row r="586" spans="19:34" x14ac:dyDescent="0.25">
      <c r="S586" s="11">
        <v>108230</v>
      </c>
      <c r="T586" s="11">
        <v>108230</v>
      </c>
      <c r="U586" s="11">
        <v>108230</v>
      </c>
      <c r="V586" s="11">
        <v>108230</v>
      </c>
      <c r="W586" s="12">
        <v>116590</v>
      </c>
      <c r="X586" s="12">
        <v>116610</v>
      </c>
      <c r="Y586" s="12">
        <v>116580</v>
      </c>
      <c r="Z586" s="12">
        <v>116600</v>
      </c>
      <c r="AA586" s="12">
        <v>111310</v>
      </c>
      <c r="AB586" s="12">
        <v>111340</v>
      </c>
      <c r="AC586" s="12">
        <v>111300</v>
      </c>
      <c r="AD586" s="12">
        <v>111300</v>
      </c>
      <c r="AE586" s="11">
        <v>110790</v>
      </c>
      <c r="AF586" s="11">
        <v>110800</v>
      </c>
      <c r="AG586" s="11">
        <v>110750</v>
      </c>
      <c r="AH586" s="11">
        <v>110750</v>
      </c>
    </row>
    <row r="587" spans="19:34" x14ac:dyDescent="0.25">
      <c r="S587" s="12">
        <v>108240</v>
      </c>
      <c r="T587" s="12">
        <v>108240</v>
      </c>
      <c r="U587" s="12">
        <v>108240</v>
      </c>
      <c r="V587" s="12">
        <v>108240</v>
      </c>
      <c r="W587" s="11">
        <v>116610</v>
      </c>
      <c r="X587" s="11">
        <v>116620</v>
      </c>
      <c r="Y587" s="11">
        <v>116610</v>
      </c>
      <c r="Z587" s="11">
        <v>116610</v>
      </c>
      <c r="AA587" s="11">
        <v>111300</v>
      </c>
      <c r="AB587" s="11">
        <v>111330</v>
      </c>
      <c r="AC587" s="11">
        <v>111270</v>
      </c>
      <c r="AD587" s="11">
        <v>111330</v>
      </c>
      <c r="AE587" s="12">
        <v>110750</v>
      </c>
      <c r="AF587" s="12">
        <v>110760</v>
      </c>
      <c r="AG587" s="12">
        <v>110670</v>
      </c>
      <c r="AH587" s="12">
        <v>110680</v>
      </c>
    </row>
    <row r="588" spans="19:34" x14ac:dyDescent="0.25">
      <c r="S588" s="11">
        <v>108230</v>
      </c>
      <c r="T588" s="11">
        <v>108230</v>
      </c>
      <c r="U588" s="11">
        <v>108230</v>
      </c>
      <c r="V588" s="11">
        <v>108230</v>
      </c>
      <c r="W588" s="12">
        <v>116610</v>
      </c>
      <c r="X588" s="12">
        <v>116620</v>
      </c>
      <c r="Y588" s="12">
        <v>116610</v>
      </c>
      <c r="Z588" s="12">
        <v>116610</v>
      </c>
      <c r="AA588" s="12">
        <v>111330</v>
      </c>
      <c r="AB588" s="12">
        <v>111340</v>
      </c>
      <c r="AC588" s="12">
        <v>111290</v>
      </c>
      <c r="AD588" s="12">
        <v>111290</v>
      </c>
      <c r="AE588" s="11">
        <v>110680</v>
      </c>
      <c r="AF588" s="11">
        <v>110720</v>
      </c>
      <c r="AG588" s="11">
        <v>110650</v>
      </c>
      <c r="AH588" s="11">
        <v>110700</v>
      </c>
    </row>
    <row r="589" spans="19:34" x14ac:dyDescent="0.25">
      <c r="S589" s="12">
        <v>108260</v>
      </c>
      <c r="T589" s="12">
        <v>108280</v>
      </c>
      <c r="U589" s="12">
        <v>108260</v>
      </c>
      <c r="V589" s="12">
        <v>108280</v>
      </c>
      <c r="W589" s="11">
        <v>116620</v>
      </c>
      <c r="X589" s="11">
        <v>116620</v>
      </c>
      <c r="Y589" s="11">
        <v>116600</v>
      </c>
      <c r="Z589" s="11">
        <v>116600</v>
      </c>
      <c r="AA589" s="11">
        <v>111290</v>
      </c>
      <c r="AB589" s="11">
        <v>111310</v>
      </c>
      <c r="AC589" s="11">
        <v>111250</v>
      </c>
      <c r="AD589" s="11">
        <v>111260</v>
      </c>
      <c r="AE589" s="12">
        <v>110690</v>
      </c>
      <c r="AF589" s="12">
        <v>110720</v>
      </c>
      <c r="AG589" s="12">
        <v>110660</v>
      </c>
      <c r="AH589" s="12">
        <v>110700</v>
      </c>
    </row>
    <row r="590" spans="19:34" x14ac:dyDescent="0.25">
      <c r="S590" s="11">
        <v>108280</v>
      </c>
      <c r="T590" s="11">
        <v>108280</v>
      </c>
      <c r="U590" s="11">
        <v>108280</v>
      </c>
      <c r="V590" s="11">
        <v>108280</v>
      </c>
      <c r="W590" s="12">
        <v>116600</v>
      </c>
      <c r="X590" s="12">
        <v>116660</v>
      </c>
      <c r="Y590" s="12">
        <v>116600</v>
      </c>
      <c r="Z590" s="12">
        <v>116660</v>
      </c>
      <c r="AA590" s="12">
        <v>111270</v>
      </c>
      <c r="AB590" s="12">
        <v>111340</v>
      </c>
      <c r="AC590" s="12">
        <v>111260</v>
      </c>
      <c r="AD590" s="12">
        <v>111320</v>
      </c>
      <c r="AE590" s="11">
        <v>110700</v>
      </c>
      <c r="AF590" s="11">
        <v>110710</v>
      </c>
      <c r="AG590" s="11">
        <v>110670</v>
      </c>
      <c r="AH590" s="11">
        <v>110710</v>
      </c>
    </row>
    <row r="591" spans="19:34" x14ac:dyDescent="0.25">
      <c r="S591" s="12">
        <v>108250</v>
      </c>
      <c r="T591" s="12">
        <v>108250</v>
      </c>
      <c r="U591" s="12">
        <v>108250</v>
      </c>
      <c r="V591" s="12">
        <v>108250</v>
      </c>
      <c r="W591" s="11">
        <v>116650</v>
      </c>
      <c r="X591" s="11">
        <v>116660</v>
      </c>
      <c r="Y591" s="11">
        <v>116610</v>
      </c>
      <c r="Z591" s="11">
        <v>116640</v>
      </c>
      <c r="AA591" s="11">
        <v>111320</v>
      </c>
      <c r="AB591" s="11">
        <v>111320</v>
      </c>
      <c r="AC591" s="11">
        <v>111240</v>
      </c>
      <c r="AD591" s="11">
        <v>111280</v>
      </c>
      <c r="AE591" s="12">
        <v>110720</v>
      </c>
      <c r="AF591" s="12">
        <v>110740</v>
      </c>
      <c r="AG591" s="12">
        <v>110710</v>
      </c>
      <c r="AH591" s="12">
        <v>110720</v>
      </c>
    </row>
    <row r="592" spans="19:34" x14ac:dyDescent="0.25">
      <c r="S592" s="11">
        <v>108250</v>
      </c>
      <c r="T592" s="11">
        <v>108250</v>
      </c>
      <c r="U592" s="11">
        <v>108250</v>
      </c>
      <c r="V592" s="11">
        <v>108250</v>
      </c>
      <c r="W592" s="12">
        <v>116640</v>
      </c>
      <c r="X592" s="12">
        <v>116650</v>
      </c>
      <c r="Y592" s="12">
        <v>116580</v>
      </c>
      <c r="Z592" s="12">
        <v>116600</v>
      </c>
      <c r="AA592" s="12">
        <v>111280</v>
      </c>
      <c r="AB592" s="12">
        <v>111310</v>
      </c>
      <c r="AC592" s="12">
        <v>111280</v>
      </c>
      <c r="AD592" s="12">
        <v>111290</v>
      </c>
      <c r="AE592" s="11">
        <v>110710</v>
      </c>
      <c r="AF592" s="11">
        <v>110730</v>
      </c>
      <c r="AG592" s="11">
        <v>110700</v>
      </c>
      <c r="AH592" s="11">
        <v>110700</v>
      </c>
    </row>
    <row r="593" spans="19:34" x14ac:dyDescent="0.25">
      <c r="S593" s="12">
        <v>108300</v>
      </c>
      <c r="T593" s="12">
        <v>108400</v>
      </c>
      <c r="U593" s="12">
        <v>108300</v>
      </c>
      <c r="V593" s="12">
        <v>108350</v>
      </c>
      <c r="W593" s="11">
        <v>116600</v>
      </c>
      <c r="X593" s="11">
        <v>116620</v>
      </c>
      <c r="Y593" s="11">
        <v>116600</v>
      </c>
      <c r="Z593" s="11">
        <v>116610</v>
      </c>
      <c r="AA593" s="11">
        <v>111310</v>
      </c>
      <c r="AB593" s="11">
        <v>111330</v>
      </c>
      <c r="AC593" s="11">
        <v>111290</v>
      </c>
      <c r="AD593" s="11">
        <v>111310</v>
      </c>
      <c r="AE593" s="12">
        <v>110690</v>
      </c>
      <c r="AF593" s="12">
        <v>110750</v>
      </c>
      <c r="AG593" s="12">
        <v>110690</v>
      </c>
      <c r="AH593" s="12">
        <v>110740</v>
      </c>
    </row>
    <row r="594" spans="19:34" x14ac:dyDescent="0.25">
      <c r="S594" s="11">
        <v>108330</v>
      </c>
      <c r="T594" s="11">
        <v>108330</v>
      </c>
      <c r="U594" s="11">
        <v>108300</v>
      </c>
      <c r="V594" s="11">
        <v>108300</v>
      </c>
      <c r="W594" s="12">
        <v>116600</v>
      </c>
      <c r="X594" s="12">
        <v>116610</v>
      </c>
      <c r="Y594" s="12">
        <v>116600</v>
      </c>
      <c r="Z594" s="12">
        <v>116610</v>
      </c>
      <c r="AA594" s="12">
        <v>111300</v>
      </c>
      <c r="AB594" s="12">
        <v>111370</v>
      </c>
      <c r="AC594" s="12">
        <v>111270</v>
      </c>
      <c r="AD594" s="12">
        <v>111340</v>
      </c>
      <c r="AE594" s="11">
        <v>110750</v>
      </c>
      <c r="AF594" s="11">
        <v>110770</v>
      </c>
      <c r="AG594" s="11">
        <v>110750</v>
      </c>
      <c r="AH594" s="11">
        <v>110750</v>
      </c>
    </row>
    <row r="595" spans="19:34" x14ac:dyDescent="0.25">
      <c r="S595" s="12">
        <v>108290</v>
      </c>
      <c r="T595" s="12">
        <v>108290</v>
      </c>
      <c r="U595" s="12">
        <v>108290</v>
      </c>
      <c r="V595" s="12">
        <v>108290</v>
      </c>
      <c r="W595" s="11">
        <v>116600</v>
      </c>
      <c r="X595" s="11">
        <v>116610</v>
      </c>
      <c r="Y595" s="11">
        <v>116590</v>
      </c>
      <c r="Z595" s="11">
        <v>116610</v>
      </c>
      <c r="AA595" s="11">
        <v>111350</v>
      </c>
      <c r="AB595" s="11">
        <v>111470</v>
      </c>
      <c r="AC595" s="11">
        <v>111350</v>
      </c>
      <c r="AD595" s="11">
        <v>111450</v>
      </c>
      <c r="AE595" s="12">
        <v>110760</v>
      </c>
      <c r="AF595" s="12">
        <v>110780</v>
      </c>
      <c r="AG595" s="12">
        <v>110730</v>
      </c>
      <c r="AH595" s="12">
        <v>110770</v>
      </c>
    </row>
    <row r="596" spans="19:34" x14ac:dyDescent="0.25">
      <c r="S596" s="11">
        <v>108260</v>
      </c>
      <c r="T596" s="11">
        <v>108290</v>
      </c>
      <c r="U596" s="11">
        <v>108260</v>
      </c>
      <c r="V596" s="11">
        <v>108290</v>
      </c>
      <c r="W596" s="12">
        <v>116610</v>
      </c>
      <c r="X596" s="12">
        <v>116640</v>
      </c>
      <c r="Y596" s="12">
        <v>116610</v>
      </c>
      <c r="Z596" s="12">
        <v>116630</v>
      </c>
      <c r="AA596" s="12">
        <v>111460</v>
      </c>
      <c r="AB596" s="12">
        <v>111620</v>
      </c>
      <c r="AC596" s="12">
        <v>111460</v>
      </c>
      <c r="AD596" s="12">
        <v>111560</v>
      </c>
      <c r="AE596" s="11">
        <v>110780</v>
      </c>
      <c r="AF596" s="11">
        <v>110790</v>
      </c>
      <c r="AG596" s="11">
        <v>110760</v>
      </c>
      <c r="AH596" s="11">
        <v>110770</v>
      </c>
    </row>
    <row r="597" spans="19:34" x14ac:dyDescent="0.25">
      <c r="S597" s="12">
        <v>108260</v>
      </c>
      <c r="T597" s="12">
        <v>108260</v>
      </c>
      <c r="U597" s="12">
        <v>108260</v>
      </c>
      <c r="V597" s="12">
        <v>108260</v>
      </c>
      <c r="W597" s="11">
        <v>116630</v>
      </c>
      <c r="X597" s="11">
        <v>116650</v>
      </c>
      <c r="Y597" s="11">
        <v>116610</v>
      </c>
      <c r="Z597" s="11">
        <v>116630</v>
      </c>
      <c r="AA597" s="11">
        <v>111570</v>
      </c>
      <c r="AB597" s="11">
        <v>111590</v>
      </c>
      <c r="AC597" s="11">
        <v>111510</v>
      </c>
      <c r="AD597" s="11">
        <v>111510</v>
      </c>
      <c r="AE597" s="12">
        <v>110770</v>
      </c>
      <c r="AF597" s="12">
        <v>110790</v>
      </c>
      <c r="AG597" s="12">
        <v>110750</v>
      </c>
      <c r="AH597" s="12">
        <v>110750</v>
      </c>
    </row>
    <row r="598" spans="19:34" x14ac:dyDescent="0.25">
      <c r="S598" s="11">
        <v>108280</v>
      </c>
      <c r="T598" s="11">
        <v>108280</v>
      </c>
      <c r="U598" s="11">
        <v>108280</v>
      </c>
      <c r="V598" s="11">
        <v>108280</v>
      </c>
      <c r="W598" s="12">
        <v>116640</v>
      </c>
      <c r="X598" s="12">
        <v>116660</v>
      </c>
      <c r="Y598" s="12">
        <v>116630</v>
      </c>
      <c r="Z598" s="12">
        <v>116650</v>
      </c>
      <c r="AA598" s="12">
        <v>111520</v>
      </c>
      <c r="AB598" s="12">
        <v>111670</v>
      </c>
      <c r="AC598" s="12">
        <v>111520</v>
      </c>
      <c r="AD598" s="12">
        <v>111600</v>
      </c>
      <c r="AE598" s="11">
        <v>110760</v>
      </c>
      <c r="AF598" s="11">
        <v>110790</v>
      </c>
      <c r="AG598" s="11">
        <v>110750</v>
      </c>
      <c r="AH598" s="11">
        <v>110790</v>
      </c>
    </row>
    <row r="599" spans="19:34" x14ac:dyDescent="0.25">
      <c r="S599" s="12">
        <v>108350</v>
      </c>
      <c r="T599" s="12">
        <v>108350</v>
      </c>
      <c r="U599" s="12">
        <v>108350</v>
      </c>
      <c r="V599" s="12">
        <v>108350</v>
      </c>
      <c r="W599" s="11">
        <v>116650</v>
      </c>
      <c r="X599" s="11">
        <v>116680</v>
      </c>
      <c r="Y599" s="11">
        <v>116640</v>
      </c>
      <c r="Z599" s="11">
        <v>116650</v>
      </c>
      <c r="AA599" s="11">
        <v>111610</v>
      </c>
      <c r="AB599" s="11">
        <v>111660</v>
      </c>
      <c r="AC599" s="11">
        <v>111610</v>
      </c>
      <c r="AD599" s="11">
        <v>111650</v>
      </c>
      <c r="AE599" s="12">
        <v>110790</v>
      </c>
      <c r="AF599" s="12">
        <v>110790</v>
      </c>
      <c r="AG599" s="12">
        <v>110760</v>
      </c>
      <c r="AH599" s="12">
        <v>110760</v>
      </c>
    </row>
    <row r="600" spans="19:34" x14ac:dyDescent="0.25">
      <c r="S600" s="11">
        <v>108340</v>
      </c>
      <c r="T600" s="11">
        <v>108370</v>
      </c>
      <c r="U600" s="11">
        <v>108330</v>
      </c>
      <c r="V600" s="11">
        <v>108330</v>
      </c>
      <c r="W600" s="12">
        <v>116650</v>
      </c>
      <c r="X600" s="12">
        <v>116670</v>
      </c>
      <c r="Y600" s="12">
        <v>116650</v>
      </c>
      <c r="Z600" s="12">
        <v>116660</v>
      </c>
      <c r="AA600" s="12">
        <v>111650</v>
      </c>
      <c r="AB600" s="12">
        <v>111700</v>
      </c>
      <c r="AC600" s="12">
        <v>111640</v>
      </c>
      <c r="AD600" s="12">
        <v>111670</v>
      </c>
      <c r="AE600" s="11">
        <v>110780</v>
      </c>
      <c r="AF600" s="11">
        <v>110800</v>
      </c>
      <c r="AG600" s="11">
        <v>110760</v>
      </c>
      <c r="AH600" s="11">
        <v>110800</v>
      </c>
    </row>
    <row r="601" spans="19:34" x14ac:dyDescent="0.25">
      <c r="S601" s="12">
        <v>108330</v>
      </c>
      <c r="T601" s="12">
        <v>108330</v>
      </c>
      <c r="U601" s="12">
        <v>108290</v>
      </c>
      <c r="V601" s="12">
        <v>108290</v>
      </c>
      <c r="W601" s="11">
        <v>116670</v>
      </c>
      <c r="X601" s="11">
        <v>116700</v>
      </c>
      <c r="Y601" s="11">
        <v>116670</v>
      </c>
      <c r="Z601" s="11">
        <v>116680</v>
      </c>
      <c r="AA601" s="11">
        <v>111670</v>
      </c>
      <c r="AB601" s="11">
        <v>111700</v>
      </c>
      <c r="AC601" s="11">
        <v>111630</v>
      </c>
      <c r="AD601" s="11">
        <v>111630</v>
      </c>
      <c r="AE601" s="12">
        <v>110800</v>
      </c>
      <c r="AF601" s="12">
        <v>110800</v>
      </c>
      <c r="AG601" s="12">
        <v>110750</v>
      </c>
      <c r="AH601" s="12">
        <v>110780</v>
      </c>
    </row>
    <row r="602" spans="19:34" x14ac:dyDescent="0.25">
      <c r="S602" s="11">
        <v>108300</v>
      </c>
      <c r="T602" s="11">
        <v>108300</v>
      </c>
      <c r="U602" s="11">
        <v>108300</v>
      </c>
      <c r="V602" s="11">
        <v>108300</v>
      </c>
      <c r="W602" s="12">
        <v>116670</v>
      </c>
      <c r="X602" s="12">
        <v>116680</v>
      </c>
      <c r="Y602" s="12">
        <v>116660</v>
      </c>
      <c r="Z602" s="12">
        <v>116670</v>
      </c>
      <c r="AA602" s="12">
        <v>111640</v>
      </c>
      <c r="AB602" s="12">
        <v>111640</v>
      </c>
      <c r="AC602" s="12">
        <v>111590</v>
      </c>
      <c r="AD602" s="12">
        <v>111620</v>
      </c>
      <c r="AE602" s="11">
        <v>110780</v>
      </c>
      <c r="AF602" s="11">
        <v>110790</v>
      </c>
      <c r="AG602" s="11">
        <v>110750</v>
      </c>
      <c r="AH602" s="11">
        <v>110750</v>
      </c>
    </row>
    <row r="603" spans="19:34" x14ac:dyDescent="0.25">
      <c r="S603" s="12">
        <v>108340</v>
      </c>
      <c r="T603" s="12">
        <v>108340</v>
      </c>
      <c r="U603" s="12">
        <v>108340</v>
      </c>
      <c r="V603" s="12">
        <v>108340</v>
      </c>
      <c r="W603" s="11">
        <v>116690</v>
      </c>
      <c r="X603" s="11">
        <v>116730</v>
      </c>
      <c r="Y603" s="11">
        <v>116680</v>
      </c>
      <c r="Z603" s="11">
        <v>116720</v>
      </c>
      <c r="AA603" s="11">
        <v>111600</v>
      </c>
      <c r="AB603" s="11">
        <v>111650</v>
      </c>
      <c r="AC603" s="11">
        <v>111580</v>
      </c>
      <c r="AD603" s="11">
        <v>111640</v>
      </c>
      <c r="AE603" s="12">
        <v>110750</v>
      </c>
      <c r="AF603" s="12">
        <v>110790</v>
      </c>
      <c r="AG603" s="12">
        <v>110750</v>
      </c>
      <c r="AH603" s="12">
        <v>110770</v>
      </c>
    </row>
    <row r="604" spans="19:34" x14ac:dyDescent="0.25">
      <c r="S604" s="11">
        <v>108320</v>
      </c>
      <c r="T604" s="11">
        <v>108320</v>
      </c>
      <c r="U604" s="11">
        <v>108320</v>
      </c>
      <c r="V604" s="11">
        <v>108320</v>
      </c>
      <c r="W604" s="12">
        <v>116720</v>
      </c>
      <c r="X604" s="12">
        <v>116770</v>
      </c>
      <c r="Y604" s="12">
        <v>116710</v>
      </c>
      <c r="Z604" s="12">
        <v>116730</v>
      </c>
      <c r="AA604" s="12">
        <v>111640</v>
      </c>
      <c r="AB604" s="12">
        <v>111650</v>
      </c>
      <c r="AC604" s="12">
        <v>111610</v>
      </c>
      <c r="AD604" s="12">
        <v>111630</v>
      </c>
      <c r="AE604" s="11">
        <v>110760</v>
      </c>
      <c r="AF604" s="11">
        <v>110770</v>
      </c>
      <c r="AG604" s="11">
        <v>110750</v>
      </c>
      <c r="AH604" s="11">
        <v>110760</v>
      </c>
    </row>
    <row r="605" spans="19:34" x14ac:dyDescent="0.25">
      <c r="S605" s="12">
        <v>108320</v>
      </c>
      <c r="T605" s="12">
        <v>108320</v>
      </c>
      <c r="U605" s="12">
        <v>108320</v>
      </c>
      <c r="V605" s="12">
        <v>108320</v>
      </c>
      <c r="W605" s="11">
        <v>116740</v>
      </c>
      <c r="X605" s="11">
        <v>116800</v>
      </c>
      <c r="Y605" s="11">
        <v>116730</v>
      </c>
      <c r="Z605" s="11">
        <v>116780</v>
      </c>
      <c r="AA605" s="11">
        <v>111640</v>
      </c>
      <c r="AB605" s="11">
        <v>111690</v>
      </c>
      <c r="AC605" s="11">
        <v>111640</v>
      </c>
      <c r="AD605" s="11">
        <v>111660</v>
      </c>
      <c r="AE605" s="12">
        <v>110770</v>
      </c>
      <c r="AF605" s="12">
        <v>110810</v>
      </c>
      <c r="AG605" s="12">
        <v>110760</v>
      </c>
      <c r="AH605" s="12">
        <v>110810</v>
      </c>
    </row>
    <row r="606" spans="19:34" x14ac:dyDescent="0.25">
      <c r="S606" s="11">
        <v>108320</v>
      </c>
      <c r="T606" s="11">
        <v>108320</v>
      </c>
      <c r="U606" s="11">
        <v>108300</v>
      </c>
      <c r="V606" s="11">
        <v>108320</v>
      </c>
      <c r="W606" s="12">
        <v>116800</v>
      </c>
      <c r="X606" s="12">
        <v>116820</v>
      </c>
      <c r="Y606" s="12">
        <v>116780</v>
      </c>
      <c r="Z606" s="12">
        <v>116780</v>
      </c>
      <c r="AA606" s="12">
        <v>111660</v>
      </c>
      <c r="AB606" s="12">
        <v>111680</v>
      </c>
      <c r="AC606" s="12">
        <v>111600</v>
      </c>
      <c r="AD606" s="12">
        <v>111600</v>
      </c>
      <c r="AE606" s="11">
        <v>110810</v>
      </c>
      <c r="AF606" s="11">
        <v>110810</v>
      </c>
      <c r="AG606" s="11">
        <v>110760</v>
      </c>
      <c r="AH606" s="11">
        <v>110780</v>
      </c>
    </row>
    <row r="607" spans="19:34" x14ac:dyDescent="0.25">
      <c r="S607" s="12">
        <v>108310</v>
      </c>
      <c r="T607" s="12">
        <v>108310</v>
      </c>
      <c r="U607" s="12">
        <v>108310</v>
      </c>
      <c r="V607" s="12">
        <v>108310</v>
      </c>
      <c r="W607" s="11">
        <v>116780</v>
      </c>
      <c r="X607" s="11">
        <v>116790</v>
      </c>
      <c r="Y607" s="11">
        <v>116720</v>
      </c>
      <c r="Z607" s="11">
        <v>116770</v>
      </c>
      <c r="AA607" s="11">
        <v>111600</v>
      </c>
      <c r="AB607" s="11">
        <v>111630</v>
      </c>
      <c r="AC607" s="11">
        <v>111580</v>
      </c>
      <c r="AD607" s="11">
        <v>111610</v>
      </c>
      <c r="AE607" s="12">
        <v>110770</v>
      </c>
      <c r="AF607" s="12">
        <v>110850</v>
      </c>
      <c r="AG607" s="12">
        <v>110760</v>
      </c>
      <c r="AH607" s="12">
        <v>110810</v>
      </c>
    </row>
    <row r="608" spans="19:34" x14ac:dyDescent="0.25">
      <c r="S608" s="11">
        <v>108290</v>
      </c>
      <c r="T608" s="11">
        <v>108290</v>
      </c>
      <c r="U608" s="11">
        <v>108290</v>
      </c>
      <c r="V608" s="11">
        <v>108290</v>
      </c>
      <c r="W608" s="12">
        <v>116760</v>
      </c>
      <c r="X608" s="12">
        <v>116760</v>
      </c>
      <c r="Y608" s="12">
        <v>116720</v>
      </c>
      <c r="Z608" s="12">
        <v>116720</v>
      </c>
      <c r="AA608" s="12">
        <v>111600</v>
      </c>
      <c r="AB608" s="12">
        <v>111610</v>
      </c>
      <c r="AC608" s="12">
        <v>111530</v>
      </c>
      <c r="AD608" s="12">
        <v>111550</v>
      </c>
      <c r="AE608" s="11">
        <v>110810</v>
      </c>
      <c r="AF608" s="11">
        <v>110830</v>
      </c>
      <c r="AG608" s="11">
        <v>110790</v>
      </c>
      <c r="AH608" s="11">
        <v>110830</v>
      </c>
    </row>
    <row r="609" spans="19:34" x14ac:dyDescent="0.25">
      <c r="S609" s="12">
        <v>108230</v>
      </c>
      <c r="T609" s="12">
        <v>108230</v>
      </c>
      <c r="U609" s="12">
        <v>108210</v>
      </c>
      <c r="V609" s="12">
        <v>108230</v>
      </c>
      <c r="W609" s="11">
        <v>116730</v>
      </c>
      <c r="X609" s="11">
        <v>116740</v>
      </c>
      <c r="Y609" s="11">
        <v>116720</v>
      </c>
      <c r="Z609" s="11">
        <v>116740</v>
      </c>
      <c r="AA609" s="11">
        <v>111550</v>
      </c>
      <c r="AB609" s="11">
        <v>111590</v>
      </c>
      <c r="AC609" s="11">
        <v>111530</v>
      </c>
      <c r="AD609" s="11">
        <v>111560</v>
      </c>
      <c r="AE609" s="12">
        <v>110840</v>
      </c>
      <c r="AF609" s="12">
        <v>110840</v>
      </c>
      <c r="AG609" s="12">
        <v>110810</v>
      </c>
      <c r="AH609" s="12">
        <v>110810</v>
      </c>
    </row>
    <row r="610" spans="19:34" x14ac:dyDescent="0.25">
      <c r="S610" s="11">
        <v>108260</v>
      </c>
      <c r="T610" s="11">
        <v>108260</v>
      </c>
      <c r="U610" s="11">
        <v>108260</v>
      </c>
      <c r="V610" s="11">
        <v>108260</v>
      </c>
      <c r="W610" s="12">
        <v>116750</v>
      </c>
      <c r="X610" s="12">
        <v>116760</v>
      </c>
      <c r="Y610" s="12">
        <v>116750</v>
      </c>
      <c r="Z610" s="12">
        <v>116760</v>
      </c>
      <c r="AA610" s="12">
        <v>111550</v>
      </c>
      <c r="AB610" s="12">
        <v>111550</v>
      </c>
      <c r="AC610" s="12">
        <v>111500</v>
      </c>
      <c r="AD610" s="12">
        <v>111500</v>
      </c>
      <c r="AE610" s="11">
        <v>110810</v>
      </c>
      <c r="AF610" s="11">
        <v>110830</v>
      </c>
      <c r="AG610" s="11">
        <v>110790</v>
      </c>
      <c r="AH610" s="11">
        <v>110790</v>
      </c>
    </row>
    <row r="611" spans="19:34" x14ac:dyDescent="0.25">
      <c r="S611" s="12">
        <v>108280</v>
      </c>
      <c r="T611" s="12">
        <v>108280</v>
      </c>
      <c r="U611" s="12">
        <v>108280</v>
      </c>
      <c r="V611" s="12">
        <v>108280</v>
      </c>
      <c r="W611" s="11">
        <v>116770</v>
      </c>
      <c r="X611" s="11">
        <v>116790</v>
      </c>
      <c r="Y611" s="11">
        <v>116760</v>
      </c>
      <c r="Z611" s="11">
        <v>116780</v>
      </c>
      <c r="AA611" s="11">
        <v>111500</v>
      </c>
      <c r="AB611" s="11">
        <v>111530</v>
      </c>
      <c r="AC611" s="11">
        <v>111480</v>
      </c>
      <c r="AD611" s="11">
        <v>111510</v>
      </c>
      <c r="AE611" s="12">
        <v>110790</v>
      </c>
      <c r="AF611" s="12">
        <v>110820</v>
      </c>
      <c r="AG611" s="12">
        <v>110790</v>
      </c>
      <c r="AH611" s="12">
        <v>110790</v>
      </c>
    </row>
    <row r="612" spans="19:34" x14ac:dyDescent="0.25">
      <c r="S612" s="11">
        <v>108240</v>
      </c>
      <c r="T612" s="11">
        <v>108250</v>
      </c>
      <c r="U612" s="11">
        <v>108240</v>
      </c>
      <c r="V612" s="11">
        <v>108250</v>
      </c>
      <c r="W612" s="12">
        <v>116790</v>
      </c>
      <c r="X612" s="12">
        <v>116810</v>
      </c>
      <c r="Y612" s="12">
        <v>116760</v>
      </c>
      <c r="Z612" s="12">
        <v>116810</v>
      </c>
      <c r="AA612" s="12">
        <v>111510</v>
      </c>
      <c r="AB612" s="12">
        <v>111510</v>
      </c>
      <c r="AC612" s="12">
        <v>111430</v>
      </c>
      <c r="AD612" s="12">
        <v>111470</v>
      </c>
      <c r="AE612" s="11">
        <v>110790</v>
      </c>
      <c r="AF612" s="11">
        <v>110810</v>
      </c>
      <c r="AG612" s="11">
        <v>110790</v>
      </c>
      <c r="AH612" s="11">
        <v>110810</v>
      </c>
    </row>
    <row r="613" spans="19:34" x14ac:dyDescent="0.25">
      <c r="S613" s="12">
        <v>108240</v>
      </c>
      <c r="T613" s="12">
        <v>108240</v>
      </c>
      <c r="U613" s="12">
        <v>108230</v>
      </c>
      <c r="V613" s="12">
        <v>108230</v>
      </c>
      <c r="W613" s="11">
        <v>116810</v>
      </c>
      <c r="X613" s="11">
        <v>116860</v>
      </c>
      <c r="Y613" s="11">
        <v>116800</v>
      </c>
      <c r="Z613" s="11">
        <v>116820</v>
      </c>
      <c r="AA613" s="11">
        <v>111470</v>
      </c>
      <c r="AB613" s="11">
        <v>111490</v>
      </c>
      <c r="AC613" s="11">
        <v>111360</v>
      </c>
      <c r="AD613" s="11">
        <v>111360</v>
      </c>
      <c r="AE613" s="12">
        <v>110800</v>
      </c>
      <c r="AF613" s="12">
        <v>110820</v>
      </c>
      <c r="AG613" s="12">
        <v>110790</v>
      </c>
      <c r="AH613" s="12">
        <v>110820</v>
      </c>
    </row>
    <row r="614" spans="19:34" x14ac:dyDescent="0.25">
      <c r="S614" s="11">
        <v>108210</v>
      </c>
      <c r="T614" s="11">
        <v>108210</v>
      </c>
      <c r="U614" s="11">
        <v>108210</v>
      </c>
      <c r="V614" s="11">
        <v>108210</v>
      </c>
      <c r="W614" s="12">
        <v>116810</v>
      </c>
      <c r="X614" s="12">
        <v>116810</v>
      </c>
      <c r="Y614" s="12">
        <v>116780</v>
      </c>
      <c r="Z614" s="12">
        <v>116790</v>
      </c>
      <c r="AA614" s="12">
        <v>111370</v>
      </c>
      <c r="AB614" s="12">
        <v>111370</v>
      </c>
      <c r="AC614" s="12">
        <v>111250</v>
      </c>
      <c r="AD614" s="12">
        <v>111290</v>
      </c>
      <c r="AE614" s="11">
        <v>110820</v>
      </c>
      <c r="AF614" s="11">
        <v>110830</v>
      </c>
      <c r="AG614" s="11">
        <v>110810</v>
      </c>
      <c r="AH614" s="11">
        <v>110820</v>
      </c>
    </row>
    <row r="615" spans="19:34" x14ac:dyDescent="0.25">
      <c r="S615" s="12">
        <v>108200</v>
      </c>
      <c r="T615" s="12">
        <v>108200</v>
      </c>
      <c r="U615" s="12">
        <v>108200</v>
      </c>
      <c r="V615" s="12">
        <v>108200</v>
      </c>
      <c r="W615" s="11">
        <v>116790</v>
      </c>
      <c r="X615" s="11">
        <v>116840</v>
      </c>
      <c r="Y615" s="11">
        <v>116790</v>
      </c>
      <c r="Z615" s="11">
        <v>116820</v>
      </c>
      <c r="AA615" s="11">
        <v>111290</v>
      </c>
      <c r="AB615" s="11">
        <v>111360</v>
      </c>
      <c r="AC615" s="11">
        <v>111290</v>
      </c>
      <c r="AD615" s="11">
        <v>111360</v>
      </c>
      <c r="AE615" s="12">
        <v>110820</v>
      </c>
      <c r="AF615" s="12">
        <v>110830</v>
      </c>
      <c r="AG615" s="12">
        <v>110810</v>
      </c>
      <c r="AH615" s="12">
        <v>110820</v>
      </c>
    </row>
    <row r="616" spans="19:34" x14ac:dyDescent="0.25">
      <c r="S616" s="11">
        <v>108180</v>
      </c>
      <c r="T616" s="11">
        <v>108180</v>
      </c>
      <c r="U616" s="11">
        <v>108180</v>
      </c>
      <c r="V616" s="11">
        <v>108180</v>
      </c>
      <c r="W616" s="12">
        <v>116820</v>
      </c>
      <c r="X616" s="12">
        <v>116830</v>
      </c>
      <c r="Y616" s="12">
        <v>116790</v>
      </c>
      <c r="Z616" s="12">
        <v>116800</v>
      </c>
      <c r="AA616" s="12">
        <v>111360</v>
      </c>
      <c r="AB616" s="12">
        <v>111360</v>
      </c>
      <c r="AC616" s="12">
        <v>111300</v>
      </c>
      <c r="AD616" s="12">
        <v>111360</v>
      </c>
      <c r="AE616" s="11">
        <v>110810</v>
      </c>
      <c r="AF616" s="11">
        <v>110810</v>
      </c>
      <c r="AG616" s="11">
        <v>110770</v>
      </c>
      <c r="AH616" s="11">
        <v>110790</v>
      </c>
    </row>
    <row r="617" spans="19:34" x14ac:dyDescent="0.25">
      <c r="S617" s="12">
        <v>108190</v>
      </c>
      <c r="T617" s="12">
        <v>108190</v>
      </c>
      <c r="U617" s="12">
        <v>108190</v>
      </c>
      <c r="V617" s="12">
        <v>108190</v>
      </c>
      <c r="W617" s="11">
        <v>116800</v>
      </c>
      <c r="X617" s="11">
        <v>116820</v>
      </c>
      <c r="Y617" s="11">
        <v>116680</v>
      </c>
      <c r="Z617" s="11">
        <v>116710</v>
      </c>
      <c r="AA617" s="11">
        <v>111360</v>
      </c>
      <c r="AB617" s="11">
        <v>111370</v>
      </c>
      <c r="AC617" s="11">
        <v>111300</v>
      </c>
      <c r="AD617" s="11">
        <v>111310</v>
      </c>
      <c r="AE617" s="12">
        <v>110780</v>
      </c>
      <c r="AF617" s="12">
        <v>110790</v>
      </c>
      <c r="AG617" s="12">
        <v>110750</v>
      </c>
      <c r="AH617" s="12">
        <v>110760</v>
      </c>
    </row>
    <row r="618" spans="19:34" x14ac:dyDescent="0.25">
      <c r="S618" s="11">
        <v>108170</v>
      </c>
      <c r="T618" s="11">
        <v>108170</v>
      </c>
      <c r="U618" s="11">
        <v>108170</v>
      </c>
      <c r="V618" s="11">
        <v>108170</v>
      </c>
      <c r="W618" s="12">
        <v>116700</v>
      </c>
      <c r="X618" s="12">
        <v>116730</v>
      </c>
      <c r="Y618" s="12">
        <v>116680</v>
      </c>
      <c r="Z618" s="12">
        <v>116700</v>
      </c>
      <c r="AA618" s="12">
        <v>111320</v>
      </c>
      <c r="AB618" s="12">
        <v>111320</v>
      </c>
      <c r="AC618" s="12">
        <v>111180</v>
      </c>
      <c r="AD618" s="12">
        <v>111240</v>
      </c>
      <c r="AE618" s="11">
        <v>110760</v>
      </c>
      <c r="AF618" s="11">
        <v>110810</v>
      </c>
      <c r="AG618" s="11">
        <v>110750</v>
      </c>
      <c r="AH618" s="11">
        <v>110810</v>
      </c>
    </row>
    <row r="619" spans="19:34" x14ac:dyDescent="0.25">
      <c r="S619" s="12">
        <v>108190</v>
      </c>
      <c r="T619" s="12">
        <v>108190</v>
      </c>
      <c r="U619" s="12">
        <v>108190</v>
      </c>
      <c r="V619" s="12">
        <v>108190</v>
      </c>
      <c r="W619" s="11">
        <v>116700</v>
      </c>
      <c r="X619" s="11">
        <v>116750</v>
      </c>
      <c r="Y619" s="11">
        <v>116700</v>
      </c>
      <c r="Z619" s="11">
        <v>116740</v>
      </c>
      <c r="AA619" s="11">
        <v>111230</v>
      </c>
      <c r="AB619" s="11">
        <v>111250</v>
      </c>
      <c r="AC619" s="11">
        <v>111150</v>
      </c>
      <c r="AD619" s="11">
        <v>111160</v>
      </c>
      <c r="AE619" s="12">
        <v>110800</v>
      </c>
      <c r="AF619" s="12">
        <v>110810</v>
      </c>
      <c r="AG619" s="12">
        <v>110800</v>
      </c>
      <c r="AH619" s="12">
        <v>110800</v>
      </c>
    </row>
    <row r="620" spans="19:34" x14ac:dyDescent="0.25">
      <c r="S620" s="11">
        <v>108180</v>
      </c>
      <c r="T620" s="11">
        <v>108180</v>
      </c>
      <c r="U620" s="11">
        <v>108180</v>
      </c>
      <c r="V620" s="11">
        <v>108180</v>
      </c>
      <c r="W620" s="12">
        <v>116750</v>
      </c>
      <c r="X620" s="12">
        <v>116770</v>
      </c>
      <c r="Y620" s="12">
        <v>116730</v>
      </c>
      <c r="Z620" s="12">
        <v>116770</v>
      </c>
      <c r="AA620" s="12">
        <v>111170</v>
      </c>
      <c r="AB620" s="12">
        <v>111220</v>
      </c>
      <c r="AC620" s="12">
        <v>111150</v>
      </c>
      <c r="AD620" s="12">
        <v>111160</v>
      </c>
      <c r="AE620" s="11">
        <v>110790</v>
      </c>
      <c r="AF620" s="11">
        <v>110800</v>
      </c>
      <c r="AG620" s="11">
        <v>110780</v>
      </c>
      <c r="AH620" s="11">
        <v>110790</v>
      </c>
    </row>
    <row r="621" spans="19:34" x14ac:dyDescent="0.25">
      <c r="S621" s="12">
        <v>108150</v>
      </c>
      <c r="T621" s="12">
        <v>108150</v>
      </c>
      <c r="U621" s="12">
        <v>108150</v>
      </c>
      <c r="V621" s="12">
        <v>108150</v>
      </c>
      <c r="W621" s="11">
        <v>116770</v>
      </c>
      <c r="X621" s="11">
        <v>116780</v>
      </c>
      <c r="Y621" s="11">
        <v>116740</v>
      </c>
      <c r="Z621" s="11">
        <v>116770</v>
      </c>
      <c r="AA621" s="11">
        <v>111170</v>
      </c>
      <c r="AB621" s="11">
        <v>111170</v>
      </c>
      <c r="AC621" s="11">
        <v>111040</v>
      </c>
      <c r="AD621" s="11">
        <v>111120</v>
      </c>
      <c r="AE621" s="12">
        <v>110780</v>
      </c>
      <c r="AF621" s="12">
        <v>110790</v>
      </c>
      <c r="AG621" s="12">
        <v>110740</v>
      </c>
      <c r="AH621" s="12">
        <v>110750</v>
      </c>
    </row>
    <row r="622" spans="19:34" x14ac:dyDescent="0.25">
      <c r="S622" s="11">
        <v>108140</v>
      </c>
      <c r="T622" s="11">
        <v>108140</v>
      </c>
      <c r="U622" s="11">
        <v>108100</v>
      </c>
      <c r="V622" s="11">
        <v>108100</v>
      </c>
      <c r="W622" s="12">
        <v>116780</v>
      </c>
      <c r="X622" s="12">
        <v>116840</v>
      </c>
      <c r="Y622" s="12">
        <v>116780</v>
      </c>
      <c r="Z622" s="12">
        <v>116840</v>
      </c>
      <c r="AA622" s="12">
        <v>111110</v>
      </c>
      <c r="AB622" s="12">
        <v>111180</v>
      </c>
      <c r="AC622" s="12">
        <v>111070</v>
      </c>
      <c r="AD622" s="12">
        <v>111150</v>
      </c>
      <c r="AE622" s="11">
        <v>110750</v>
      </c>
      <c r="AF622" s="11">
        <v>110750</v>
      </c>
      <c r="AG622" s="11">
        <v>110690</v>
      </c>
      <c r="AH622" s="11">
        <v>110700</v>
      </c>
    </row>
    <row r="623" spans="19:34" x14ac:dyDescent="0.25">
      <c r="S623" s="12">
        <v>108070</v>
      </c>
      <c r="T623" s="12">
        <v>108100</v>
      </c>
      <c r="U623" s="12">
        <v>108050</v>
      </c>
      <c r="V623" s="12">
        <v>108050</v>
      </c>
      <c r="W623" s="11">
        <v>116830</v>
      </c>
      <c r="X623" s="11">
        <v>116870</v>
      </c>
      <c r="Y623" s="11">
        <v>116830</v>
      </c>
      <c r="Z623" s="11">
        <v>116840</v>
      </c>
      <c r="AA623" s="11">
        <v>111160</v>
      </c>
      <c r="AB623" s="11">
        <v>111230</v>
      </c>
      <c r="AC623" s="11">
        <v>111120</v>
      </c>
      <c r="AD623" s="11">
        <v>111210</v>
      </c>
      <c r="AE623" s="12">
        <v>110700</v>
      </c>
      <c r="AF623" s="12">
        <v>110720</v>
      </c>
      <c r="AG623" s="12">
        <v>110680</v>
      </c>
      <c r="AH623" s="12">
        <v>110680</v>
      </c>
    </row>
    <row r="624" spans="19:34" x14ac:dyDescent="0.25">
      <c r="S624" s="11">
        <v>108120</v>
      </c>
      <c r="T624" s="11">
        <v>108120</v>
      </c>
      <c r="U624" s="11">
        <v>108120</v>
      </c>
      <c r="V624" s="11">
        <v>108120</v>
      </c>
      <c r="W624" s="12">
        <v>116850</v>
      </c>
      <c r="X624" s="12">
        <v>116850</v>
      </c>
      <c r="Y624" s="12">
        <v>116800</v>
      </c>
      <c r="Z624" s="12">
        <v>116800</v>
      </c>
      <c r="AA624" s="12">
        <v>111210</v>
      </c>
      <c r="AB624" s="12">
        <v>111320</v>
      </c>
      <c r="AC624" s="12">
        <v>111200</v>
      </c>
      <c r="AD624" s="12">
        <v>111300</v>
      </c>
      <c r="AE624" s="11">
        <v>110680</v>
      </c>
      <c r="AF624" s="11">
        <v>110700</v>
      </c>
      <c r="AG624" s="11">
        <v>110680</v>
      </c>
      <c r="AH624" s="11">
        <v>110700</v>
      </c>
    </row>
    <row r="625" spans="19:34" x14ac:dyDescent="0.25">
      <c r="S625" s="12">
        <v>108130</v>
      </c>
      <c r="T625" s="12">
        <v>108130</v>
      </c>
      <c r="U625" s="12">
        <v>108130</v>
      </c>
      <c r="V625" s="12">
        <v>108130</v>
      </c>
      <c r="W625" s="11">
        <v>116800</v>
      </c>
      <c r="X625" s="11">
        <v>116860</v>
      </c>
      <c r="Y625" s="11">
        <v>116800</v>
      </c>
      <c r="Z625" s="11">
        <v>116850</v>
      </c>
      <c r="AA625" s="11">
        <v>111310</v>
      </c>
      <c r="AB625" s="11">
        <v>111450</v>
      </c>
      <c r="AC625" s="11">
        <v>111290</v>
      </c>
      <c r="AD625" s="11">
        <v>111370</v>
      </c>
      <c r="AE625" s="12">
        <v>110680</v>
      </c>
      <c r="AF625" s="12">
        <v>110700</v>
      </c>
      <c r="AG625" s="12">
        <v>110670</v>
      </c>
      <c r="AH625" s="12">
        <v>110690</v>
      </c>
    </row>
    <row r="626" spans="19:34" x14ac:dyDescent="0.25">
      <c r="S626" s="11">
        <v>108140</v>
      </c>
      <c r="T626" s="11">
        <v>108140</v>
      </c>
      <c r="U626" s="11">
        <v>108140</v>
      </c>
      <c r="V626" s="11">
        <v>108140</v>
      </c>
      <c r="W626" s="12">
        <v>116840</v>
      </c>
      <c r="X626" s="12">
        <v>116870</v>
      </c>
      <c r="Y626" s="12">
        <v>116820</v>
      </c>
      <c r="Z626" s="12">
        <v>116830</v>
      </c>
      <c r="AA626" s="12">
        <v>111370</v>
      </c>
      <c r="AB626" s="12">
        <v>111410</v>
      </c>
      <c r="AC626" s="12">
        <v>111350</v>
      </c>
      <c r="AD626" s="12">
        <v>111380</v>
      </c>
      <c r="AE626" s="11">
        <v>110680</v>
      </c>
      <c r="AF626" s="11">
        <v>110730</v>
      </c>
      <c r="AG626" s="11">
        <v>110670</v>
      </c>
      <c r="AH626" s="11">
        <v>110690</v>
      </c>
    </row>
    <row r="627" spans="19:34" x14ac:dyDescent="0.25">
      <c r="S627" s="12">
        <v>108140</v>
      </c>
      <c r="T627" s="12">
        <v>108180</v>
      </c>
      <c r="U627" s="12">
        <v>108140</v>
      </c>
      <c r="V627" s="12">
        <v>108180</v>
      </c>
      <c r="W627" s="11">
        <v>116830</v>
      </c>
      <c r="X627" s="11">
        <v>116850</v>
      </c>
      <c r="Y627" s="11">
        <v>116820</v>
      </c>
      <c r="Z627" s="11">
        <v>116850</v>
      </c>
      <c r="AA627" s="11">
        <v>111390</v>
      </c>
      <c r="AB627" s="11">
        <v>111390</v>
      </c>
      <c r="AC627" s="11">
        <v>111280</v>
      </c>
      <c r="AD627" s="11">
        <v>111350</v>
      </c>
      <c r="AE627" s="12">
        <v>110710</v>
      </c>
      <c r="AF627" s="12">
        <v>110730</v>
      </c>
      <c r="AG627" s="12">
        <v>110700</v>
      </c>
      <c r="AH627" s="12">
        <v>110720</v>
      </c>
    </row>
    <row r="628" spans="19:34" x14ac:dyDescent="0.25">
      <c r="S628" s="11">
        <v>108180</v>
      </c>
      <c r="T628" s="11">
        <v>108180</v>
      </c>
      <c r="U628" s="11">
        <v>108180</v>
      </c>
      <c r="V628" s="11">
        <v>108180</v>
      </c>
      <c r="W628" s="12">
        <v>116860</v>
      </c>
      <c r="X628" s="12">
        <v>116890</v>
      </c>
      <c r="Y628" s="12">
        <v>116850</v>
      </c>
      <c r="Z628" s="12">
        <v>116870</v>
      </c>
      <c r="AA628" s="12">
        <v>111350</v>
      </c>
      <c r="AB628" s="12">
        <v>111530</v>
      </c>
      <c r="AC628" s="12">
        <v>111320</v>
      </c>
      <c r="AD628" s="12">
        <v>111360</v>
      </c>
      <c r="AE628" s="11">
        <v>110710</v>
      </c>
      <c r="AF628" s="11">
        <v>110750</v>
      </c>
      <c r="AG628" s="11">
        <v>110700</v>
      </c>
      <c r="AH628" s="11">
        <v>110750</v>
      </c>
    </row>
    <row r="629" spans="19:34" x14ac:dyDescent="0.25">
      <c r="S629" s="12">
        <v>108190</v>
      </c>
      <c r="T629" s="12">
        <v>108260</v>
      </c>
      <c r="U629" s="12">
        <v>108190</v>
      </c>
      <c r="V629" s="12">
        <v>108260</v>
      </c>
      <c r="W629" s="11">
        <v>116870</v>
      </c>
      <c r="X629" s="11">
        <v>116870</v>
      </c>
      <c r="Y629" s="11">
        <v>116840</v>
      </c>
      <c r="Z629" s="11">
        <v>116840</v>
      </c>
      <c r="AA629" s="11">
        <v>111360</v>
      </c>
      <c r="AB629" s="11">
        <v>111380</v>
      </c>
      <c r="AC629" s="11">
        <v>111270</v>
      </c>
      <c r="AD629" s="11">
        <v>111290</v>
      </c>
      <c r="AE629" s="12">
        <v>110730</v>
      </c>
      <c r="AF629" s="12">
        <v>110740</v>
      </c>
      <c r="AG629" s="12">
        <v>110710</v>
      </c>
      <c r="AH629" s="12">
        <v>110720</v>
      </c>
    </row>
    <row r="630" spans="19:34" x14ac:dyDescent="0.25">
      <c r="S630" s="11">
        <v>108200</v>
      </c>
      <c r="T630" s="11">
        <v>108200</v>
      </c>
      <c r="U630" s="11">
        <v>108190</v>
      </c>
      <c r="V630" s="11">
        <v>108190</v>
      </c>
      <c r="W630" s="12">
        <v>116850</v>
      </c>
      <c r="X630" s="12">
        <v>116890</v>
      </c>
      <c r="Y630" s="12">
        <v>116820</v>
      </c>
      <c r="Z630" s="12">
        <v>116890</v>
      </c>
      <c r="AA630" s="12">
        <v>111300</v>
      </c>
      <c r="AB630" s="12">
        <v>111410</v>
      </c>
      <c r="AC630" s="12">
        <v>111290</v>
      </c>
      <c r="AD630" s="12">
        <v>111400</v>
      </c>
      <c r="AE630" s="11">
        <v>110720</v>
      </c>
      <c r="AF630" s="11">
        <v>110730</v>
      </c>
      <c r="AG630" s="11">
        <v>110710</v>
      </c>
      <c r="AH630" s="11">
        <v>110720</v>
      </c>
    </row>
    <row r="631" spans="19:34" x14ac:dyDescent="0.25">
      <c r="S631" s="12">
        <v>108220</v>
      </c>
      <c r="T631" s="12">
        <v>108220</v>
      </c>
      <c r="U631" s="12">
        <v>108220</v>
      </c>
      <c r="V631" s="12">
        <v>108220</v>
      </c>
      <c r="W631" s="11">
        <v>116890</v>
      </c>
      <c r="X631" s="11">
        <v>116910</v>
      </c>
      <c r="Y631" s="11">
        <v>116860</v>
      </c>
      <c r="Z631" s="11">
        <v>116870</v>
      </c>
      <c r="AA631" s="11">
        <v>111400</v>
      </c>
      <c r="AB631" s="11">
        <v>111410</v>
      </c>
      <c r="AC631" s="11">
        <v>111300</v>
      </c>
      <c r="AD631" s="11">
        <v>111300</v>
      </c>
      <c r="AE631" s="12">
        <v>110720</v>
      </c>
      <c r="AF631" s="12">
        <v>110760</v>
      </c>
      <c r="AG631" s="12">
        <v>110720</v>
      </c>
      <c r="AH631" s="12">
        <v>110740</v>
      </c>
    </row>
    <row r="632" spans="19:34" x14ac:dyDescent="0.25">
      <c r="S632" s="11">
        <v>108260</v>
      </c>
      <c r="T632" s="11">
        <v>108260</v>
      </c>
      <c r="U632" s="11">
        <v>108260</v>
      </c>
      <c r="V632" s="11">
        <v>108260</v>
      </c>
      <c r="W632" s="12">
        <v>116870</v>
      </c>
      <c r="X632" s="12">
        <v>116890</v>
      </c>
      <c r="Y632" s="12">
        <v>116830</v>
      </c>
      <c r="Z632" s="12">
        <v>116830</v>
      </c>
      <c r="AA632" s="12">
        <v>111310</v>
      </c>
      <c r="AB632" s="12">
        <v>111370</v>
      </c>
      <c r="AC632" s="12">
        <v>111310</v>
      </c>
      <c r="AD632" s="12">
        <v>111320</v>
      </c>
      <c r="AE632" s="11">
        <v>110740</v>
      </c>
      <c r="AF632" s="11">
        <v>110780</v>
      </c>
      <c r="AG632" s="11">
        <v>110730</v>
      </c>
      <c r="AH632" s="11">
        <v>110770</v>
      </c>
    </row>
    <row r="633" spans="19:34" x14ac:dyDescent="0.25">
      <c r="S633" s="12">
        <v>108280</v>
      </c>
      <c r="T633" s="12">
        <v>108280</v>
      </c>
      <c r="U633" s="12">
        <v>108280</v>
      </c>
      <c r="V633" s="12">
        <v>108280</v>
      </c>
      <c r="W633" s="11">
        <v>116840</v>
      </c>
      <c r="X633" s="11">
        <v>116850</v>
      </c>
      <c r="Y633" s="11">
        <v>116780</v>
      </c>
      <c r="Z633" s="11">
        <v>116790</v>
      </c>
      <c r="AA633" s="11">
        <v>111310</v>
      </c>
      <c r="AB633" s="11">
        <v>111340</v>
      </c>
      <c r="AC633" s="11">
        <v>111270</v>
      </c>
      <c r="AD633" s="11">
        <v>111280</v>
      </c>
      <c r="AE633" s="12">
        <v>110780</v>
      </c>
      <c r="AF633" s="12">
        <v>110790</v>
      </c>
      <c r="AG633" s="12">
        <v>110750</v>
      </c>
      <c r="AH633" s="12">
        <v>110790</v>
      </c>
    </row>
    <row r="634" spans="19:34" x14ac:dyDescent="0.25">
      <c r="S634" s="11">
        <v>108220</v>
      </c>
      <c r="T634" s="11">
        <v>108220</v>
      </c>
      <c r="U634" s="11">
        <v>108220</v>
      </c>
      <c r="V634" s="11">
        <v>108220</v>
      </c>
      <c r="W634" s="12">
        <v>116790</v>
      </c>
      <c r="X634" s="12">
        <v>116830</v>
      </c>
      <c r="Y634" s="12">
        <v>116780</v>
      </c>
      <c r="Z634" s="12">
        <v>116790</v>
      </c>
      <c r="AA634" s="12">
        <v>111280</v>
      </c>
      <c r="AB634" s="12">
        <v>111290</v>
      </c>
      <c r="AC634" s="12">
        <v>111210</v>
      </c>
      <c r="AD634" s="12">
        <v>111210</v>
      </c>
      <c r="AE634" s="11">
        <v>110790</v>
      </c>
      <c r="AF634" s="11">
        <v>110800</v>
      </c>
      <c r="AG634" s="11">
        <v>110740</v>
      </c>
      <c r="AH634" s="11">
        <v>110750</v>
      </c>
    </row>
    <row r="635" spans="19:34" x14ac:dyDescent="0.25">
      <c r="S635" s="12">
        <v>108230</v>
      </c>
      <c r="T635" s="12">
        <v>108230</v>
      </c>
      <c r="U635" s="12">
        <v>108230</v>
      </c>
      <c r="V635" s="12">
        <v>108230</v>
      </c>
      <c r="W635" s="11">
        <v>116790</v>
      </c>
      <c r="X635" s="11">
        <v>116830</v>
      </c>
      <c r="Y635" s="11">
        <v>116790</v>
      </c>
      <c r="Z635" s="11">
        <v>116820</v>
      </c>
      <c r="AA635" s="11">
        <v>111230</v>
      </c>
      <c r="AB635" s="11">
        <v>111230</v>
      </c>
      <c r="AC635" s="11">
        <v>111180</v>
      </c>
      <c r="AD635" s="11">
        <v>111190</v>
      </c>
      <c r="AE635" s="12">
        <v>110750</v>
      </c>
      <c r="AF635" s="12">
        <v>110760</v>
      </c>
      <c r="AG635" s="12">
        <v>110730</v>
      </c>
      <c r="AH635" s="12">
        <v>110730</v>
      </c>
    </row>
    <row r="636" spans="19:34" x14ac:dyDescent="0.25">
      <c r="S636" s="11">
        <v>108230</v>
      </c>
      <c r="T636" s="11">
        <v>108230</v>
      </c>
      <c r="U636" s="11">
        <v>108230</v>
      </c>
      <c r="V636" s="11">
        <v>108230</v>
      </c>
      <c r="W636" s="12">
        <v>116810</v>
      </c>
      <c r="X636" s="12">
        <v>116820</v>
      </c>
      <c r="Y636" s="12">
        <v>116720</v>
      </c>
      <c r="Z636" s="12">
        <v>116760</v>
      </c>
      <c r="AA636" s="12">
        <v>111200</v>
      </c>
      <c r="AB636" s="12">
        <v>111250</v>
      </c>
      <c r="AC636" s="12">
        <v>111130</v>
      </c>
      <c r="AD636" s="12">
        <v>111250</v>
      </c>
      <c r="AE636" s="11">
        <v>110720</v>
      </c>
      <c r="AF636" s="11">
        <v>110740</v>
      </c>
      <c r="AG636" s="11">
        <v>110700</v>
      </c>
      <c r="AH636" s="11">
        <v>110700</v>
      </c>
    </row>
    <row r="637" spans="19:34" x14ac:dyDescent="0.25">
      <c r="S637" s="12">
        <v>108200</v>
      </c>
      <c r="T637" s="12">
        <v>108200</v>
      </c>
      <c r="U637" s="12">
        <v>108180</v>
      </c>
      <c r="V637" s="12">
        <v>108180</v>
      </c>
      <c r="W637" s="11">
        <v>116760</v>
      </c>
      <c r="X637" s="11">
        <v>116780</v>
      </c>
      <c r="Y637" s="11">
        <v>116710</v>
      </c>
      <c r="Z637" s="11">
        <v>116710</v>
      </c>
      <c r="AA637" s="11">
        <v>111240</v>
      </c>
      <c r="AB637" s="11">
        <v>111350</v>
      </c>
      <c r="AC637" s="11">
        <v>111200</v>
      </c>
      <c r="AD637" s="11">
        <v>111300</v>
      </c>
      <c r="AE637" s="12">
        <v>110710</v>
      </c>
      <c r="AF637" s="12">
        <v>110750</v>
      </c>
      <c r="AG637" s="12">
        <v>110680</v>
      </c>
      <c r="AH637" s="12">
        <v>110680</v>
      </c>
    </row>
    <row r="638" spans="19:34" x14ac:dyDescent="0.25">
      <c r="S638" s="11">
        <v>108230</v>
      </c>
      <c r="T638" s="11">
        <v>108230</v>
      </c>
      <c r="U638" s="11">
        <v>108230</v>
      </c>
      <c r="V638" s="11">
        <v>108230</v>
      </c>
      <c r="W638" s="12">
        <v>116720</v>
      </c>
      <c r="X638" s="12">
        <v>116750</v>
      </c>
      <c r="Y638" s="12">
        <v>116670</v>
      </c>
      <c r="Z638" s="12">
        <v>116730</v>
      </c>
      <c r="AA638" s="12">
        <v>111330</v>
      </c>
      <c r="AB638" s="12">
        <v>111340</v>
      </c>
      <c r="AC638" s="12">
        <v>111280</v>
      </c>
      <c r="AD638" s="12">
        <v>111290</v>
      </c>
      <c r="AE638" s="11">
        <v>110700</v>
      </c>
      <c r="AF638" s="11">
        <v>110700</v>
      </c>
      <c r="AG638" s="11">
        <v>110650</v>
      </c>
      <c r="AH638" s="11">
        <v>110670</v>
      </c>
    </row>
    <row r="639" spans="19:34" x14ac:dyDescent="0.25">
      <c r="S639" s="12">
        <v>108300</v>
      </c>
      <c r="T639" s="12">
        <v>108310</v>
      </c>
      <c r="U639" s="12">
        <v>108300</v>
      </c>
      <c r="V639" s="12">
        <v>108300</v>
      </c>
      <c r="W639" s="11">
        <v>116730</v>
      </c>
      <c r="X639" s="11">
        <v>116740</v>
      </c>
      <c r="Y639" s="11">
        <v>116700</v>
      </c>
      <c r="Z639" s="11">
        <v>116710</v>
      </c>
      <c r="AA639" s="11">
        <v>111280</v>
      </c>
      <c r="AB639" s="11">
        <v>111330</v>
      </c>
      <c r="AC639" s="11">
        <v>111280</v>
      </c>
      <c r="AD639" s="11">
        <v>111290</v>
      </c>
      <c r="AE639" s="12">
        <v>110680</v>
      </c>
      <c r="AF639" s="12">
        <v>110700</v>
      </c>
      <c r="AG639" s="12">
        <v>110670</v>
      </c>
      <c r="AH639" s="12">
        <v>110680</v>
      </c>
    </row>
    <row r="640" spans="19:34" x14ac:dyDescent="0.25">
      <c r="S640" s="11">
        <v>108300</v>
      </c>
      <c r="T640" s="11">
        <v>108300</v>
      </c>
      <c r="U640" s="11">
        <v>108280</v>
      </c>
      <c r="V640" s="11">
        <v>108280</v>
      </c>
      <c r="W640" s="12">
        <v>116730</v>
      </c>
      <c r="X640" s="12">
        <v>116730</v>
      </c>
      <c r="Y640" s="12">
        <v>116690</v>
      </c>
      <c r="Z640" s="12">
        <v>116710</v>
      </c>
      <c r="AA640" s="12">
        <v>111290</v>
      </c>
      <c r="AB640" s="12">
        <v>111310</v>
      </c>
      <c r="AC640" s="12">
        <v>111280</v>
      </c>
      <c r="AD640" s="12">
        <v>111300</v>
      </c>
      <c r="AE640" s="11">
        <v>110700</v>
      </c>
      <c r="AF640" s="11">
        <v>110700</v>
      </c>
      <c r="AG640" s="11">
        <v>110670</v>
      </c>
      <c r="AH640" s="11">
        <v>110680</v>
      </c>
    </row>
    <row r="641" spans="19:34" x14ac:dyDescent="0.25">
      <c r="S641" s="12">
        <v>108300</v>
      </c>
      <c r="T641" s="12">
        <v>108300</v>
      </c>
      <c r="U641" s="12">
        <v>108300</v>
      </c>
      <c r="V641" s="12">
        <v>108300</v>
      </c>
      <c r="W641" s="11">
        <v>116720</v>
      </c>
      <c r="X641" s="11">
        <v>116740</v>
      </c>
      <c r="Y641" s="11">
        <v>116720</v>
      </c>
      <c r="Z641" s="11">
        <v>116730</v>
      </c>
      <c r="AA641" s="11">
        <v>111300</v>
      </c>
      <c r="AB641" s="11">
        <v>111340</v>
      </c>
      <c r="AC641" s="11">
        <v>111280</v>
      </c>
      <c r="AD641" s="11">
        <v>111340</v>
      </c>
      <c r="AE641" s="12">
        <v>110680</v>
      </c>
      <c r="AF641" s="12">
        <v>110710</v>
      </c>
      <c r="AG641" s="12">
        <v>110670</v>
      </c>
      <c r="AH641" s="12">
        <v>110690</v>
      </c>
    </row>
    <row r="642" spans="19:34" x14ac:dyDescent="0.25">
      <c r="S642" s="11">
        <v>108330</v>
      </c>
      <c r="T642" s="11">
        <v>108330</v>
      </c>
      <c r="U642" s="11">
        <v>108330</v>
      </c>
      <c r="V642" s="11">
        <v>108330</v>
      </c>
      <c r="W642" s="12">
        <v>116730</v>
      </c>
      <c r="X642" s="12">
        <v>116750</v>
      </c>
      <c r="Y642" s="12">
        <v>116700</v>
      </c>
      <c r="Z642" s="12">
        <v>116720</v>
      </c>
      <c r="AA642" s="12">
        <v>111320</v>
      </c>
      <c r="AB642" s="12">
        <v>111350</v>
      </c>
      <c r="AC642" s="12">
        <v>111260</v>
      </c>
      <c r="AD642" s="12">
        <v>111310</v>
      </c>
      <c r="AE642" s="11">
        <v>110680</v>
      </c>
      <c r="AF642" s="11">
        <v>110720</v>
      </c>
      <c r="AG642" s="11">
        <v>110670</v>
      </c>
      <c r="AH642" s="11">
        <v>110700</v>
      </c>
    </row>
    <row r="643" spans="19:34" x14ac:dyDescent="0.25">
      <c r="S643" s="12">
        <v>108330</v>
      </c>
      <c r="T643" s="12">
        <v>108330</v>
      </c>
      <c r="U643" s="12">
        <v>108290</v>
      </c>
      <c r="V643" s="12">
        <v>108290</v>
      </c>
      <c r="W643" s="11">
        <v>116710</v>
      </c>
      <c r="X643" s="11">
        <v>116730</v>
      </c>
      <c r="Y643" s="11">
        <v>116700</v>
      </c>
      <c r="Z643" s="11">
        <v>116700</v>
      </c>
      <c r="AA643" s="11">
        <v>111320</v>
      </c>
      <c r="AB643" s="11">
        <v>111350</v>
      </c>
      <c r="AC643" s="11">
        <v>111310</v>
      </c>
      <c r="AD643" s="11">
        <v>111340</v>
      </c>
      <c r="AE643" s="12">
        <v>110700</v>
      </c>
      <c r="AF643" s="12">
        <v>110740</v>
      </c>
      <c r="AG643" s="12">
        <v>110690</v>
      </c>
      <c r="AH643" s="12">
        <v>110730</v>
      </c>
    </row>
    <row r="644" spans="19:34" x14ac:dyDescent="0.25">
      <c r="S644" s="11">
        <v>108340</v>
      </c>
      <c r="T644" s="11">
        <v>108340</v>
      </c>
      <c r="U644" s="11">
        <v>108340</v>
      </c>
      <c r="V644" s="11">
        <v>108340</v>
      </c>
      <c r="W644" s="12">
        <v>116700</v>
      </c>
      <c r="X644" s="12">
        <v>116710</v>
      </c>
      <c r="Y644" s="12">
        <v>116690</v>
      </c>
      <c r="Z644" s="12">
        <v>116690</v>
      </c>
      <c r="AA644" s="12">
        <v>111350</v>
      </c>
      <c r="AB644" s="12">
        <v>111360</v>
      </c>
      <c r="AC644" s="12">
        <v>111270</v>
      </c>
      <c r="AD644" s="12">
        <v>111280</v>
      </c>
      <c r="AE644" s="11">
        <v>110740</v>
      </c>
      <c r="AF644" s="11">
        <v>110780</v>
      </c>
      <c r="AG644" s="11">
        <v>110740</v>
      </c>
      <c r="AH644" s="11">
        <v>110760</v>
      </c>
    </row>
    <row r="645" spans="19:34" x14ac:dyDescent="0.25">
      <c r="S645" s="12">
        <v>108340</v>
      </c>
      <c r="T645" s="12">
        <v>108350</v>
      </c>
      <c r="U645" s="12">
        <v>108310</v>
      </c>
      <c r="V645" s="12">
        <v>108310</v>
      </c>
      <c r="W645" s="11">
        <v>116690</v>
      </c>
      <c r="X645" s="11">
        <v>116730</v>
      </c>
      <c r="Y645" s="11">
        <v>116680</v>
      </c>
      <c r="Z645" s="11">
        <v>116730</v>
      </c>
      <c r="AA645" s="11">
        <v>111270</v>
      </c>
      <c r="AB645" s="11">
        <v>111320</v>
      </c>
      <c r="AC645" s="11">
        <v>111270</v>
      </c>
      <c r="AD645" s="11">
        <v>111280</v>
      </c>
      <c r="AE645" s="12">
        <v>110750</v>
      </c>
      <c r="AF645" s="12">
        <v>110790</v>
      </c>
      <c r="AG645" s="12">
        <v>110740</v>
      </c>
      <c r="AH645" s="12">
        <v>110750</v>
      </c>
    </row>
    <row r="646" spans="19:34" x14ac:dyDescent="0.25">
      <c r="S646" s="11">
        <v>108370</v>
      </c>
      <c r="T646" s="11">
        <v>108380</v>
      </c>
      <c r="U646" s="11">
        <v>108310</v>
      </c>
      <c r="V646" s="11">
        <v>108310</v>
      </c>
      <c r="W646" s="12">
        <v>116740</v>
      </c>
      <c r="X646" s="12">
        <v>116740</v>
      </c>
      <c r="Y646" s="12">
        <v>116710</v>
      </c>
      <c r="Z646" s="12">
        <v>116710</v>
      </c>
      <c r="AA646" s="12">
        <v>111280</v>
      </c>
      <c r="AB646" s="12">
        <v>111300</v>
      </c>
      <c r="AC646" s="12">
        <v>111280</v>
      </c>
      <c r="AD646" s="12">
        <v>111300</v>
      </c>
      <c r="AE646" s="11">
        <v>110760</v>
      </c>
      <c r="AF646" s="11">
        <v>110770</v>
      </c>
      <c r="AG646" s="11">
        <v>110760</v>
      </c>
      <c r="AH646" s="11">
        <v>110760</v>
      </c>
    </row>
    <row r="647" spans="19:34" x14ac:dyDescent="0.25">
      <c r="S647" s="13"/>
      <c r="T647" s="13"/>
      <c r="U647" s="13"/>
      <c r="V647" s="13"/>
      <c r="W647" s="11">
        <v>116710</v>
      </c>
      <c r="X647" s="11">
        <v>116760</v>
      </c>
      <c r="Y647" s="11">
        <v>116700</v>
      </c>
      <c r="Z647" s="11">
        <v>116750</v>
      </c>
      <c r="AA647" s="11">
        <v>111300</v>
      </c>
      <c r="AB647" s="11">
        <v>111330</v>
      </c>
      <c r="AC647" s="11">
        <v>111180</v>
      </c>
      <c r="AD647" s="11">
        <v>111200</v>
      </c>
      <c r="AE647" s="12">
        <v>110750</v>
      </c>
      <c r="AF647" s="12">
        <v>110800</v>
      </c>
      <c r="AG647" s="12">
        <v>110740</v>
      </c>
      <c r="AH647" s="12">
        <v>110780</v>
      </c>
    </row>
    <row r="648" spans="19:34" x14ac:dyDescent="0.25">
      <c r="S648" s="13"/>
      <c r="T648" s="13"/>
      <c r="U648" s="13"/>
      <c r="V648" s="13"/>
      <c r="W648" s="12">
        <v>116740</v>
      </c>
      <c r="X648" s="12">
        <v>116750</v>
      </c>
      <c r="Y648" s="12">
        <v>116720</v>
      </c>
      <c r="Z648" s="12">
        <v>116750</v>
      </c>
      <c r="AA648" s="12">
        <v>111190</v>
      </c>
      <c r="AB648" s="12">
        <v>111190</v>
      </c>
      <c r="AC648" s="12">
        <v>111060</v>
      </c>
      <c r="AD648" s="12">
        <v>111090</v>
      </c>
      <c r="AE648" s="11">
        <v>110780</v>
      </c>
      <c r="AF648" s="11">
        <v>110800</v>
      </c>
      <c r="AG648" s="11">
        <v>110750</v>
      </c>
      <c r="AH648" s="11">
        <v>110770</v>
      </c>
    </row>
    <row r="649" spans="19:34" x14ac:dyDescent="0.25">
      <c r="S649" s="13"/>
      <c r="T649" s="13"/>
      <c r="U649" s="13"/>
      <c r="V649" s="13"/>
      <c r="W649" s="11">
        <v>116740</v>
      </c>
      <c r="X649" s="11">
        <v>116750</v>
      </c>
      <c r="Y649" s="11">
        <v>116720</v>
      </c>
      <c r="Z649" s="11">
        <v>116740</v>
      </c>
      <c r="AA649" s="11">
        <v>111070</v>
      </c>
      <c r="AB649" s="11">
        <v>111120</v>
      </c>
      <c r="AC649" s="11">
        <v>111020</v>
      </c>
      <c r="AD649" s="11">
        <v>111100</v>
      </c>
      <c r="AE649" s="12">
        <v>110770</v>
      </c>
      <c r="AF649" s="12">
        <v>110790</v>
      </c>
      <c r="AG649" s="12">
        <v>110750</v>
      </c>
      <c r="AH649" s="12">
        <v>110790</v>
      </c>
    </row>
    <row r="650" spans="19:34" x14ac:dyDescent="0.25">
      <c r="S650" s="13"/>
      <c r="T650" s="13"/>
      <c r="U650" s="13"/>
      <c r="V650" s="13"/>
      <c r="W650" s="12">
        <v>116740</v>
      </c>
      <c r="X650" s="12">
        <v>116740</v>
      </c>
      <c r="Y650" s="12">
        <v>116720</v>
      </c>
      <c r="Z650" s="12">
        <v>116730</v>
      </c>
      <c r="AA650" s="12">
        <v>111110</v>
      </c>
      <c r="AB650" s="12">
        <v>111150</v>
      </c>
      <c r="AC650" s="12">
        <v>111100</v>
      </c>
      <c r="AD650" s="12">
        <v>111140</v>
      </c>
      <c r="AE650" s="11">
        <v>110780</v>
      </c>
      <c r="AF650" s="11">
        <v>110800</v>
      </c>
      <c r="AG650" s="11">
        <v>110760</v>
      </c>
      <c r="AH650" s="11">
        <v>110760</v>
      </c>
    </row>
    <row r="651" spans="19:34" x14ac:dyDescent="0.25">
      <c r="S651" s="13"/>
      <c r="T651" s="13"/>
      <c r="U651" s="13"/>
      <c r="V651" s="13"/>
      <c r="W651" s="11">
        <v>116740</v>
      </c>
      <c r="X651" s="11">
        <v>116800</v>
      </c>
      <c r="Y651" s="11">
        <v>116730</v>
      </c>
      <c r="Z651" s="11">
        <v>116780</v>
      </c>
      <c r="AA651" s="11">
        <v>111150</v>
      </c>
      <c r="AB651" s="11">
        <v>111180</v>
      </c>
      <c r="AC651" s="11">
        <v>111130</v>
      </c>
      <c r="AD651" s="11">
        <v>111160</v>
      </c>
      <c r="AE651" s="12">
        <v>110760</v>
      </c>
      <c r="AF651" s="12">
        <v>110780</v>
      </c>
      <c r="AG651" s="12">
        <v>110740</v>
      </c>
      <c r="AH651" s="12">
        <v>110750</v>
      </c>
    </row>
    <row r="652" spans="19:34" x14ac:dyDescent="0.25">
      <c r="S652" s="13"/>
      <c r="T652" s="13"/>
      <c r="U652" s="13"/>
      <c r="V652" s="13"/>
      <c r="W652" s="12">
        <v>116790</v>
      </c>
      <c r="X652" s="12">
        <v>116820</v>
      </c>
      <c r="Y652" s="12">
        <v>116750</v>
      </c>
      <c r="Z652" s="12">
        <v>116770</v>
      </c>
      <c r="AA652" s="12">
        <v>111160</v>
      </c>
      <c r="AB652" s="12">
        <v>111260</v>
      </c>
      <c r="AC652" s="12">
        <v>111160</v>
      </c>
      <c r="AD652" s="12">
        <v>111180</v>
      </c>
      <c r="AE652" s="11">
        <v>110770</v>
      </c>
      <c r="AF652" s="11">
        <v>110800</v>
      </c>
      <c r="AG652" s="11">
        <v>110750</v>
      </c>
      <c r="AH652" s="11">
        <v>110780</v>
      </c>
    </row>
    <row r="653" spans="19:34" x14ac:dyDescent="0.25">
      <c r="S653" s="13"/>
      <c r="T653" s="13"/>
      <c r="U653" s="13"/>
      <c r="V653" s="13"/>
      <c r="W653" s="11">
        <v>116770</v>
      </c>
      <c r="X653" s="11">
        <v>116790</v>
      </c>
      <c r="Y653" s="11">
        <v>116760</v>
      </c>
      <c r="Z653" s="11">
        <v>116760</v>
      </c>
      <c r="AA653" s="11">
        <v>111180</v>
      </c>
      <c r="AB653" s="11">
        <v>111190</v>
      </c>
      <c r="AC653" s="11">
        <v>111100</v>
      </c>
      <c r="AD653" s="11">
        <v>111140</v>
      </c>
      <c r="AE653" s="12">
        <v>110790</v>
      </c>
      <c r="AF653" s="12">
        <v>110800</v>
      </c>
      <c r="AG653" s="12">
        <v>110760</v>
      </c>
      <c r="AH653" s="12">
        <v>110770</v>
      </c>
    </row>
    <row r="654" spans="19:34" x14ac:dyDescent="0.25">
      <c r="S654" s="13"/>
      <c r="T654" s="13"/>
      <c r="U654" s="13"/>
      <c r="V654" s="13"/>
      <c r="W654" s="12">
        <v>116770</v>
      </c>
      <c r="X654" s="12">
        <v>116810</v>
      </c>
      <c r="Y654" s="12">
        <v>116760</v>
      </c>
      <c r="Z654" s="12">
        <v>116790</v>
      </c>
      <c r="AA654" s="12">
        <v>111140</v>
      </c>
      <c r="AB654" s="12">
        <v>111220</v>
      </c>
      <c r="AC654" s="12">
        <v>111120</v>
      </c>
      <c r="AD654" s="12">
        <v>111120</v>
      </c>
      <c r="AE654" s="11">
        <v>110770</v>
      </c>
      <c r="AF654" s="11">
        <v>110770</v>
      </c>
      <c r="AG654" s="11">
        <v>110710</v>
      </c>
      <c r="AH654" s="11">
        <v>110710</v>
      </c>
    </row>
    <row r="655" spans="19:34" x14ac:dyDescent="0.25">
      <c r="S655" s="13"/>
      <c r="T655" s="13"/>
      <c r="U655" s="13"/>
      <c r="V655" s="13"/>
      <c r="W655" s="11">
        <v>116820</v>
      </c>
      <c r="X655" s="11">
        <v>116820</v>
      </c>
      <c r="Y655" s="11">
        <v>116770</v>
      </c>
      <c r="Z655" s="11">
        <v>116780</v>
      </c>
      <c r="AA655" s="11">
        <v>111130</v>
      </c>
      <c r="AB655" s="11">
        <v>111200</v>
      </c>
      <c r="AC655" s="11">
        <v>111120</v>
      </c>
      <c r="AD655" s="11">
        <v>111130</v>
      </c>
      <c r="AE655" s="12">
        <v>110720</v>
      </c>
      <c r="AF655" s="12">
        <v>110730</v>
      </c>
      <c r="AG655" s="12">
        <v>110690</v>
      </c>
      <c r="AH655" s="12">
        <v>110720</v>
      </c>
    </row>
    <row r="656" spans="19:34" x14ac:dyDescent="0.25">
      <c r="S656" s="13"/>
      <c r="T656" s="13"/>
      <c r="U656" s="13"/>
      <c r="V656" s="13"/>
      <c r="W656" s="12">
        <v>116790</v>
      </c>
      <c r="X656" s="12">
        <v>116820</v>
      </c>
      <c r="Y656" s="12">
        <v>116780</v>
      </c>
      <c r="Z656" s="12">
        <v>116820</v>
      </c>
      <c r="AA656" s="12">
        <v>111110</v>
      </c>
      <c r="AB656" s="12">
        <v>111210</v>
      </c>
      <c r="AC656" s="12">
        <v>111100</v>
      </c>
      <c r="AD656" s="12">
        <v>111140</v>
      </c>
      <c r="AE656" s="11">
        <v>110730</v>
      </c>
      <c r="AF656" s="11">
        <v>110730</v>
      </c>
      <c r="AG656" s="11">
        <v>110710</v>
      </c>
      <c r="AH656" s="11">
        <v>110710</v>
      </c>
    </row>
    <row r="657" spans="19:34" x14ac:dyDescent="0.25">
      <c r="S657" s="13"/>
      <c r="T657" s="13"/>
      <c r="U657" s="13"/>
      <c r="V657" s="13"/>
      <c r="W657" s="11">
        <v>116810</v>
      </c>
      <c r="X657" s="11">
        <v>116820</v>
      </c>
      <c r="Y657" s="11">
        <v>116790</v>
      </c>
      <c r="Z657" s="11">
        <v>116810</v>
      </c>
      <c r="AA657" s="11">
        <v>111140</v>
      </c>
      <c r="AB657" s="11">
        <v>111230</v>
      </c>
      <c r="AC657" s="11">
        <v>111100</v>
      </c>
      <c r="AD657" s="11">
        <v>111210</v>
      </c>
      <c r="AE657" s="12">
        <v>110720</v>
      </c>
      <c r="AF657" s="12">
        <v>110720</v>
      </c>
      <c r="AG657" s="12">
        <v>110640</v>
      </c>
      <c r="AH657" s="12">
        <v>110670</v>
      </c>
    </row>
    <row r="658" spans="19:34" x14ac:dyDescent="0.25">
      <c r="S658" s="13"/>
      <c r="T658" s="13"/>
      <c r="U658" s="13"/>
      <c r="V658" s="13"/>
      <c r="W658" s="12">
        <v>116810</v>
      </c>
      <c r="X658" s="12">
        <v>116810</v>
      </c>
      <c r="Y658" s="12">
        <v>116760</v>
      </c>
      <c r="Z658" s="12">
        <v>116760</v>
      </c>
      <c r="AA658" s="12">
        <v>111200</v>
      </c>
      <c r="AB658" s="12">
        <v>111220</v>
      </c>
      <c r="AC658" s="12">
        <v>111170</v>
      </c>
      <c r="AD658" s="12">
        <v>111180</v>
      </c>
      <c r="AE658" s="11">
        <v>110680</v>
      </c>
      <c r="AF658" s="11">
        <v>110700</v>
      </c>
      <c r="AG658" s="11">
        <v>110660</v>
      </c>
      <c r="AH658" s="11">
        <v>110690</v>
      </c>
    </row>
    <row r="659" spans="19:34" x14ac:dyDescent="0.25">
      <c r="S659" s="13"/>
      <c r="T659" s="13"/>
      <c r="U659" s="13"/>
      <c r="V659" s="13"/>
      <c r="W659" s="11">
        <v>116770</v>
      </c>
      <c r="X659" s="11">
        <v>116770</v>
      </c>
      <c r="Y659" s="11">
        <v>116760</v>
      </c>
      <c r="Z659" s="11">
        <v>116760</v>
      </c>
      <c r="AA659" s="11">
        <v>111170</v>
      </c>
      <c r="AB659" s="11">
        <v>111200</v>
      </c>
      <c r="AC659" s="11">
        <v>111120</v>
      </c>
      <c r="AD659" s="11">
        <v>111200</v>
      </c>
      <c r="AE659" s="12">
        <v>110680</v>
      </c>
      <c r="AF659" s="12">
        <v>110710</v>
      </c>
      <c r="AG659" s="12">
        <v>110660</v>
      </c>
      <c r="AH659" s="12">
        <v>110660</v>
      </c>
    </row>
    <row r="660" spans="19:34" x14ac:dyDescent="0.25">
      <c r="S660" s="13"/>
      <c r="T660" s="13"/>
      <c r="U660" s="13"/>
      <c r="V660" s="13"/>
      <c r="W660" s="12">
        <v>116750</v>
      </c>
      <c r="X660" s="12">
        <v>116780</v>
      </c>
      <c r="Y660" s="12">
        <v>116750</v>
      </c>
      <c r="Z660" s="12">
        <v>116770</v>
      </c>
      <c r="AA660" s="12">
        <v>111190</v>
      </c>
      <c r="AB660" s="12">
        <v>111220</v>
      </c>
      <c r="AC660" s="12">
        <v>111140</v>
      </c>
      <c r="AD660" s="12">
        <v>111150</v>
      </c>
      <c r="AE660" s="11">
        <v>110650</v>
      </c>
      <c r="AF660" s="11">
        <v>110660</v>
      </c>
      <c r="AG660" s="11">
        <v>110620</v>
      </c>
      <c r="AH660" s="11">
        <v>110650</v>
      </c>
    </row>
    <row r="661" spans="19:34" x14ac:dyDescent="0.25">
      <c r="S661" s="13"/>
      <c r="T661" s="13"/>
      <c r="U661" s="13"/>
      <c r="V661" s="13"/>
      <c r="W661" s="11">
        <v>116780</v>
      </c>
      <c r="X661" s="11">
        <v>116790</v>
      </c>
      <c r="Y661" s="11">
        <v>116780</v>
      </c>
      <c r="Z661" s="11">
        <v>116780</v>
      </c>
      <c r="AA661" s="11">
        <v>111140</v>
      </c>
      <c r="AB661" s="11">
        <v>111170</v>
      </c>
      <c r="AC661" s="11">
        <v>111070</v>
      </c>
      <c r="AD661" s="11">
        <v>111110</v>
      </c>
      <c r="AE661" s="12">
        <v>110650</v>
      </c>
      <c r="AF661" s="12">
        <v>110660</v>
      </c>
      <c r="AG661" s="12">
        <v>110630</v>
      </c>
      <c r="AH661" s="12">
        <v>110650</v>
      </c>
    </row>
    <row r="662" spans="19:34" x14ac:dyDescent="0.25">
      <c r="S662" s="13"/>
      <c r="T662" s="13"/>
      <c r="U662" s="13"/>
      <c r="V662" s="13"/>
      <c r="W662" s="12">
        <v>116770</v>
      </c>
      <c r="X662" s="12">
        <v>116800</v>
      </c>
      <c r="Y662" s="12">
        <v>116770</v>
      </c>
      <c r="Z662" s="12">
        <v>116790</v>
      </c>
      <c r="AA662" s="12">
        <v>111110</v>
      </c>
      <c r="AB662" s="12">
        <v>111130</v>
      </c>
      <c r="AC662" s="12">
        <v>111050</v>
      </c>
      <c r="AD662" s="12">
        <v>111090</v>
      </c>
      <c r="AE662" s="11">
        <v>110630</v>
      </c>
      <c r="AF662" s="11">
        <v>110680</v>
      </c>
      <c r="AG662" s="11">
        <v>110630</v>
      </c>
      <c r="AH662" s="11">
        <v>110630</v>
      </c>
    </row>
    <row r="663" spans="19:34" x14ac:dyDescent="0.25">
      <c r="S663" s="13"/>
      <c r="T663" s="13"/>
      <c r="U663" s="13"/>
      <c r="V663" s="13"/>
      <c r="W663" s="11">
        <v>116800</v>
      </c>
      <c r="X663" s="11">
        <v>116820</v>
      </c>
      <c r="Y663" s="11">
        <v>116770</v>
      </c>
      <c r="Z663" s="11">
        <v>116800</v>
      </c>
      <c r="AA663" s="11">
        <v>111080</v>
      </c>
      <c r="AB663" s="11">
        <v>111090</v>
      </c>
      <c r="AC663" s="11">
        <v>111060</v>
      </c>
      <c r="AD663" s="11">
        <v>111080</v>
      </c>
      <c r="AE663" s="12">
        <v>110650</v>
      </c>
      <c r="AF663" s="12">
        <v>110670</v>
      </c>
      <c r="AG663" s="12">
        <v>110650</v>
      </c>
      <c r="AH663" s="12">
        <v>110650</v>
      </c>
    </row>
    <row r="664" spans="19:34" x14ac:dyDescent="0.25">
      <c r="S664" s="13"/>
      <c r="T664" s="13"/>
      <c r="U664" s="13"/>
      <c r="V664" s="13"/>
      <c r="W664" s="12">
        <v>116800</v>
      </c>
      <c r="X664" s="12">
        <v>116820</v>
      </c>
      <c r="Y664" s="12">
        <v>116770</v>
      </c>
      <c r="Z664" s="12">
        <v>116770</v>
      </c>
      <c r="AA664" s="12">
        <v>111070</v>
      </c>
      <c r="AB664" s="12">
        <v>111120</v>
      </c>
      <c r="AC664" s="12">
        <v>111050</v>
      </c>
      <c r="AD664" s="12">
        <v>111090</v>
      </c>
      <c r="AE664" s="11">
        <v>110650</v>
      </c>
      <c r="AF664" s="11">
        <v>110690</v>
      </c>
      <c r="AG664" s="11">
        <v>110650</v>
      </c>
      <c r="AH664" s="11">
        <v>110680</v>
      </c>
    </row>
    <row r="665" spans="19:34" x14ac:dyDescent="0.25">
      <c r="S665" s="13"/>
      <c r="T665" s="13"/>
      <c r="U665" s="13"/>
      <c r="V665" s="13"/>
      <c r="W665" s="11">
        <v>116770</v>
      </c>
      <c r="X665" s="11">
        <v>116780</v>
      </c>
      <c r="Y665" s="11">
        <v>116760</v>
      </c>
      <c r="Z665" s="11">
        <v>116780</v>
      </c>
      <c r="AA665" s="11">
        <v>111090</v>
      </c>
      <c r="AB665" s="11">
        <v>111090</v>
      </c>
      <c r="AC665" s="11">
        <v>110950</v>
      </c>
      <c r="AD665" s="11">
        <v>111040</v>
      </c>
      <c r="AE665" s="12">
        <v>110680</v>
      </c>
      <c r="AF665" s="12">
        <v>110710</v>
      </c>
      <c r="AG665" s="12">
        <v>110670</v>
      </c>
      <c r="AH665" s="12">
        <v>110680</v>
      </c>
    </row>
    <row r="666" spans="19:34" x14ac:dyDescent="0.25">
      <c r="S666" s="13"/>
      <c r="T666" s="13"/>
      <c r="U666" s="13"/>
      <c r="V666" s="13"/>
      <c r="W666" s="12">
        <v>116770</v>
      </c>
      <c r="X666" s="12">
        <v>116830</v>
      </c>
      <c r="Y666" s="12">
        <v>116760</v>
      </c>
      <c r="Z666" s="12">
        <v>116810</v>
      </c>
      <c r="AA666" s="12">
        <v>111040</v>
      </c>
      <c r="AB666" s="12">
        <v>111090</v>
      </c>
      <c r="AC666" s="12">
        <v>111020</v>
      </c>
      <c r="AD666" s="12">
        <v>111080</v>
      </c>
      <c r="AE666" s="11">
        <v>110660</v>
      </c>
      <c r="AF666" s="11">
        <v>110670</v>
      </c>
      <c r="AG666" s="11">
        <v>110640</v>
      </c>
      <c r="AH666" s="11">
        <v>110650</v>
      </c>
    </row>
    <row r="667" spans="19:34" x14ac:dyDescent="0.25">
      <c r="S667" s="13"/>
      <c r="T667" s="13"/>
      <c r="U667" s="13"/>
      <c r="V667" s="13"/>
      <c r="W667" s="11">
        <v>116800</v>
      </c>
      <c r="X667" s="11">
        <v>116820</v>
      </c>
      <c r="Y667" s="11">
        <v>116790</v>
      </c>
      <c r="Z667" s="11">
        <v>116820</v>
      </c>
      <c r="AA667" s="11">
        <v>111080</v>
      </c>
      <c r="AB667" s="11">
        <v>111080</v>
      </c>
      <c r="AC667" s="11">
        <v>111030</v>
      </c>
      <c r="AD667" s="11">
        <v>111060</v>
      </c>
      <c r="AE667" s="12">
        <v>110630</v>
      </c>
      <c r="AF667" s="12">
        <v>110680</v>
      </c>
      <c r="AG667" s="12">
        <v>110630</v>
      </c>
      <c r="AH667" s="12">
        <v>110650</v>
      </c>
    </row>
    <row r="668" spans="19:34" x14ac:dyDescent="0.25">
      <c r="S668" s="13"/>
      <c r="T668" s="13"/>
      <c r="U668" s="13"/>
      <c r="V668" s="13"/>
      <c r="W668" s="12">
        <v>116830</v>
      </c>
      <c r="X668" s="12">
        <v>116880</v>
      </c>
      <c r="Y668" s="12">
        <v>116810</v>
      </c>
      <c r="Z668" s="12">
        <v>116810</v>
      </c>
      <c r="AA668" s="12">
        <v>111060</v>
      </c>
      <c r="AB668" s="12">
        <v>111070</v>
      </c>
      <c r="AC668" s="12">
        <v>111000</v>
      </c>
      <c r="AD668" s="12">
        <v>111000</v>
      </c>
      <c r="AE668" s="11">
        <v>110650</v>
      </c>
      <c r="AF668" s="11">
        <v>110690</v>
      </c>
      <c r="AG668" s="11">
        <v>110650</v>
      </c>
      <c r="AH668" s="11">
        <v>110650</v>
      </c>
    </row>
    <row r="669" spans="19:34" x14ac:dyDescent="0.25">
      <c r="S669" s="13"/>
      <c r="T669" s="13"/>
      <c r="U669" s="13"/>
      <c r="V669" s="13"/>
      <c r="W669" s="11">
        <v>116800</v>
      </c>
      <c r="X669" s="11">
        <v>116830</v>
      </c>
      <c r="Y669" s="11">
        <v>116790</v>
      </c>
      <c r="Z669" s="11">
        <v>116830</v>
      </c>
      <c r="AA669" s="11">
        <v>111010</v>
      </c>
      <c r="AB669" s="11">
        <v>111010</v>
      </c>
      <c r="AC669" s="11">
        <v>110960</v>
      </c>
      <c r="AD669" s="11">
        <v>110960</v>
      </c>
      <c r="AE669" s="12">
        <v>110640</v>
      </c>
      <c r="AF669" s="12">
        <v>110660</v>
      </c>
      <c r="AG669" s="12">
        <v>110630</v>
      </c>
      <c r="AH669" s="12">
        <v>110630</v>
      </c>
    </row>
    <row r="670" spans="19:34" x14ac:dyDescent="0.25">
      <c r="S670" s="13"/>
      <c r="T670" s="13"/>
      <c r="U670" s="13"/>
      <c r="V670" s="13"/>
      <c r="W670" s="12">
        <v>116820</v>
      </c>
      <c r="X670" s="12">
        <v>116830</v>
      </c>
      <c r="Y670" s="12">
        <v>116780</v>
      </c>
      <c r="Z670" s="12">
        <v>116780</v>
      </c>
      <c r="AA670" s="12">
        <v>110970</v>
      </c>
      <c r="AB670" s="12">
        <v>111020</v>
      </c>
      <c r="AC670" s="12">
        <v>110960</v>
      </c>
      <c r="AD670" s="12">
        <v>111010</v>
      </c>
      <c r="AE670" s="11">
        <v>110650</v>
      </c>
      <c r="AF670" s="11">
        <v>110670</v>
      </c>
      <c r="AG670" s="11">
        <v>110640</v>
      </c>
      <c r="AH670" s="11">
        <v>110650</v>
      </c>
    </row>
    <row r="671" spans="19:34" x14ac:dyDescent="0.25">
      <c r="S671" s="13"/>
      <c r="T671" s="13"/>
      <c r="U671" s="13"/>
      <c r="V671" s="13"/>
      <c r="W671" s="11">
        <v>116790</v>
      </c>
      <c r="X671" s="11">
        <v>116800</v>
      </c>
      <c r="Y671" s="11">
        <v>116770</v>
      </c>
      <c r="Z671" s="11">
        <v>116800</v>
      </c>
      <c r="AA671" s="11">
        <v>111010</v>
      </c>
      <c r="AB671" s="11">
        <v>111070</v>
      </c>
      <c r="AC671" s="11">
        <v>111010</v>
      </c>
      <c r="AD671" s="11">
        <v>111070</v>
      </c>
      <c r="AE671" s="12">
        <v>110640</v>
      </c>
      <c r="AF671" s="12">
        <v>110640</v>
      </c>
      <c r="AG671" s="12">
        <v>110560</v>
      </c>
      <c r="AH671" s="12">
        <v>110560</v>
      </c>
    </row>
    <row r="672" spans="19:34" x14ac:dyDescent="0.25">
      <c r="S672" s="13"/>
      <c r="T672" s="13"/>
      <c r="U672" s="13"/>
      <c r="V672" s="13"/>
      <c r="W672" s="12">
        <v>116800</v>
      </c>
      <c r="X672" s="12">
        <v>116830</v>
      </c>
      <c r="Y672" s="12">
        <v>116790</v>
      </c>
      <c r="Z672" s="12">
        <v>116810</v>
      </c>
      <c r="AA672" s="12">
        <v>111050</v>
      </c>
      <c r="AB672" s="12">
        <v>111120</v>
      </c>
      <c r="AC672" s="12">
        <v>111020</v>
      </c>
      <c r="AD672" s="12">
        <v>111090</v>
      </c>
      <c r="AE672" s="11">
        <v>110560</v>
      </c>
      <c r="AF672" s="11">
        <v>110640</v>
      </c>
      <c r="AG672" s="11">
        <v>110550</v>
      </c>
      <c r="AH672" s="11">
        <v>110630</v>
      </c>
    </row>
    <row r="673" spans="19:34" x14ac:dyDescent="0.25">
      <c r="S673" s="13"/>
      <c r="T673" s="13"/>
      <c r="U673" s="13"/>
      <c r="V673" s="13"/>
      <c r="W673" s="11">
        <v>116820</v>
      </c>
      <c r="X673" s="11">
        <v>116840</v>
      </c>
      <c r="Y673" s="11">
        <v>116810</v>
      </c>
      <c r="Z673" s="11">
        <v>116820</v>
      </c>
      <c r="AA673" s="11">
        <v>111100</v>
      </c>
      <c r="AB673" s="11">
        <v>111130</v>
      </c>
      <c r="AC673" s="11">
        <v>111070</v>
      </c>
      <c r="AD673" s="11">
        <v>111130</v>
      </c>
      <c r="AE673" s="12">
        <v>110620</v>
      </c>
      <c r="AF673" s="12">
        <v>110650</v>
      </c>
      <c r="AG673" s="12">
        <v>110620</v>
      </c>
      <c r="AH673" s="12">
        <v>110630</v>
      </c>
    </row>
    <row r="674" spans="19:34" x14ac:dyDescent="0.25">
      <c r="S674" s="13"/>
      <c r="T674" s="13"/>
      <c r="U674" s="13"/>
      <c r="V674" s="13"/>
      <c r="W674" s="12">
        <v>116820</v>
      </c>
      <c r="X674" s="12">
        <v>116850</v>
      </c>
      <c r="Y674" s="12">
        <v>116810</v>
      </c>
      <c r="Z674" s="12">
        <v>116830</v>
      </c>
      <c r="AA674" s="12">
        <v>111130</v>
      </c>
      <c r="AB674" s="12">
        <v>111130</v>
      </c>
      <c r="AC674" s="12">
        <v>111090</v>
      </c>
      <c r="AD674" s="12">
        <v>111100</v>
      </c>
      <c r="AE674" s="11">
        <v>110640</v>
      </c>
      <c r="AF674" s="11">
        <v>110680</v>
      </c>
      <c r="AG674" s="11">
        <v>110640</v>
      </c>
      <c r="AH674" s="11">
        <v>110660</v>
      </c>
    </row>
    <row r="675" spans="19:34" x14ac:dyDescent="0.25">
      <c r="S675" s="13"/>
      <c r="T675" s="13"/>
      <c r="U675" s="13"/>
      <c r="V675" s="13"/>
      <c r="W675" s="11">
        <v>116830</v>
      </c>
      <c r="X675" s="11">
        <v>116850</v>
      </c>
      <c r="Y675" s="11">
        <v>116830</v>
      </c>
      <c r="Z675" s="11">
        <v>116840</v>
      </c>
      <c r="AA675" s="11">
        <v>111090</v>
      </c>
      <c r="AB675" s="11">
        <v>111120</v>
      </c>
      <c r="AC675" s="11">
        <v>111080</v>
      </c>
      <c r="AD675" s="11">
        <v>111080</v>
      </c>
      <c r="AE675" s="12">
        <v>110670</v>
      </c>
      <c r="AF675" s="12">
        <v>110700</v>
      </c>
      <c r="AG675" s="12">
        <v>110660</v>
      </c>
      <c r="AH675" s="12">
        <v>110680</v>
      </c>
    </row>
    <row r="676" spans="19:34" x14ac:dyDescent="0.25">
      <c r="S676" s="13"/>
      <c r="T676" s="13"/>
      <c r="U676" s="13"/>
      <c r="V676" s="13"/>
      <c r="W676" s="12">
        <v>116830</v>
      </c>
      <c r="X676" s="12">
        <v>116850</v>
      </c>
      <c r="Y676" s="12">
        <v>116820</v>
      </c>
      <c r="Z676" s="12">
        <v>116820</v>
      </c>
      <c r="AA676" s="12">
        <v>111080</v>
      </c>
      <c r="AB676" s="12">
        <v>111150</v>
      </c>
      <c r="AC676" s="12">
        <v>111080</v>
      </c>
      <c r="AD676" s="12">
        <v>111150</v>
      </c>
      <c r="AE676" s="11">
        <v>110690</v>
      </c>
      <c r="AF676" s="11">
        <v>110700</v>
      </c>
      <c r="AG676" s="11">
        <v>110670</v>
      </c>
      <c r="AH676" s="11">
        <v>110680</v>
      </c>
    </row>
    <row r="677" spans="19:34" x14ac:dyDescent="0.25">
      <c r="S677" s="13"/>
      <c r="T677" s="13"/>
      <c r="U677" s="13"/>
      <c r="V677" s="13"/>
      <c r="W677" s="11">
        <v>116820</v>
      </c>
      <c r="X677" s="11">
        <v>116830</v>
      </c>
      <c r="Y677" s="11">
        <v>116810</v>
      </c>
      <c r="Z677" s="11">
        <v>116830</v>
      </c>
      <c r="AA677" s="11">
        <v>111150</v>
      </c>
      <c r="AB677" s="11">
        <v>111170</v>
      </c>
      <c r="AC677" s="11">
        <v>111060</v>
      </c>
      <c r="AD677" s="11">
        <v>111070</v>
      </c>
      <c r="AE677" s="12">
        <v>110690</v>
      </c>
      <c r="AF677" s="12">
        <v>110720</v>
      </c>
      <c r="AG677" s="12">
        <v>110690</v>
      </c>
      <c r="AH677" s="12">
        <v>110720</v>
      </c>
    </row>
    <row r="678" spans="19:34" x14ac:dyDescent="0.25">
      <c r="S678" s="13"/>
      <c r="T678" s="13"/>
      <c r="U678" s="13"/>
      <c r="V678" s="13"/>
      <c r="W678" s="12">
        <v>116820</v>
      </c>
      <c r="X678" s="12">
        <v>116850</v>
      </c>
      <c r="Y678" s="12">
        <v>116820</v>
      </c>
      <c r="Z678" s="12">
        <v>116830</v>
      </c>
      <c r="AA678" s="12">
        <v>111080</v>
      </c>
      <c r="AB678" s="12">
        <v>111090</v>
      </c>
      <c r="AC678" s="12">
        <v>110990</v>
      </c>
      <c r="AD678" s="12">
        <v>111020</v>
      </c>
      <c r="AE678" s="11">
        <v>110720</v>
      </c>
      <c r="AF678" s="11">
        <v>110740</v>
      </c>
      <c r="AG678" s="11">
        <v>110690</v>
      </c>
      <c r="AH678" s="11">
        <v>110730</v>
      </c>
    </row>
    <row r="679" spans="19:34" x14ac:dyDescent="0.25">
      <c r="S679" s="13"/>
      <c r="T679" s="13"/>
      <c r="U679" s="13"/>
      <c r="V679" s="13"/>
      <c r="W679" s="11">
        <v>116840</v>
      </c>
      <c r="X679" s="11">
        <v>116840</v>
      </c>
      <c r="Y679" s="11">
        <v>116820</v>
      </c>
      <c r="Z679" s="11">
        <v>116820</v>
      </c>
      <c r="AA679" s="11">
        <v>111030</v>
      </c>
      <c r="AB679" s="11">
        <v>111030</v>
      </c>
      <c r="AC679" s="11">
        <v>111000</v>
      </c>
      <c r="AD679" s="11">
        <v>111020</v>
      </c>
      <c r="AE679" s="12">
        <v>110730</v>
      </c>
      <c r="AF679" s="12">
        <v>110740</v>
      </c>
      <c r="AG679" s="12">
        <v>110720</v>
      </c>
      <c r="AH679" s="12">
        <v>110730</v>
      </c>
    </row>
    <row r="680" spans="19:34" x14ac:dyDescent="0.25">
      <c r="S680" s="13"/>
      <c r="T680" s="13"/>
      <c r="U680" s="13"/>
      <c r="V680" s="13"/>
      <c r="W680" s="12">
        <v>116840</v>
      </c>
      <c r="X680" s="12">
        <v>116860</v>
      </c>
      <c r="Y680" s="12">
        <v>116840</v>
      </c>
      <c r="Z680" s="12">
        <v>116850</v>
      </c>
      <c r="AA680" s="12">
        <v>111020</v>
      </c>
      <c r="AB680" s="12">
        <v>111040</v>
      </c>
      <c r="AC680" s="12">
        <v>110990</v>
      </c>
      <c r="AD680" s="12">
        <v>111000</v>
      </c>
      <c r="AE680" s="11">
        <v>110750</v>
      </c>
      <c r="AF680" s="11">
        <v>110750</v>
      </c>
      <c r="AG680" s="11">
        <v>110730</v>
      </c>
      <c r="AH680" s="11">
        <v>110740</v>
      </c>
    </row>
    <row r="681" spans="19:34" x14ac:dyDescent="0.25">
      <c r="S681" s="13"/>
      <c r="T681" s="13"/>
      <c r="U681" s="13"/>
      <c r="V681" s="13"/>
      <c r="W681" s="11">
        <v>116850</v>
      </c>
      <c r="X681" s="11">
        <v>116860</v>
      </c>
      <c r="Y681" s="11">
        <v>116830</v>
      </c>
      <c r="Z681" s="11">
        <v>116830</v>
      </c>
      <c r="AA681" s="11">
        <v>111000</v>
      </c>
      <c r="AB681" s="11">
        <v>111000</v>
      </c>
      <c r="AC681" s="11">
        <v>110830</v>
      </c>
      <c r="AD681" s="11">
        <v>110880</v>
      </c>
      <c r="AE681" s="12">
        <v>110750</v>
      </c>
      <c r="AF681" s="12">
        <v>110770</v>
      </c>
      <c r="AG681" s="12">
        <v>110750</v>
      </c>
      <c r="AH681" s="12">
        <v>110760</v>
      </c>
    </row>
    <row r="682" spans="19:34" x14ac:dyDescent="0.25">
      <c r="S682" s="13"/>
      <c r="T682" s="13"/>
      <c r="U682" s="13"/>
      <c r="V682" s="13"/>
      <c r="W682" s="12">
        <v>116830</v>
      </c>
      <c r="X682" s="12">
        <v>116840</v>
      </c>
      <c r="Y682" s="12">
        <v>116820</v>
      </c>
      <c r="Z682" s="12">
        <v>116830</v>
      </c>
      <c r="AA682" s="12">
        <v>110880</v>
      </c>
      <c r="AB682" s="12">
        <v>110930</v>
      </c>
      <c r="AC682" s="12">
        <v>110860</v>
      </c>
      <c r="AD682" s="12">
        <v>110860</v>
      </c>
      <c r="AE682" s="11">
        <v>110770</v>
      </c>
      <c r="AF682" s="11">
        <v>110780</v>
      </c>
      <c r="AG682" s="11">
        <v>110750</v>
      </c>
      <c r="AH682" s="11">
        <v>110770</v>
      </c>
    </row>
    <row r="683" spans="19:34" x14ac:dyDescent="0.25">
      <c r="S683" s="13"/>
      <c r="T683" s="13"/>
      <c r="U683" s="13"/>
      <c r="V683" s="13"/>
      <c r="W683" s="11">
        <v>116830</v>
      </c>
      <c r="X683" s="11">
        <v>116850</v>
      </c>
      <c r="Y683" s="11">
        <v>116820</v>
      </c>
      <c r="Z683" s="11">
        <v>116830</v>
      </c>
      <c r="AA683" s="11">
        <v>110850</v>
      </c>
      <c r="AB683" s="11">
        <v>110910</v>
      </c>
      <c r="AC683" s="11">
        <v>110830</v>
      </c>
      <c r="AD683" s="11">
        <v>110880</v>
      </c>
      <c r="AE683" s="12">
        <v>110780</v>
      </c>
      <c r="AF683" s="12">
        <v>110790</v>
      </c>
      <c r="AG683" s="12">
        <v>110740</v>
      </c>
      <c r="AH683" s="12">
        <v>110770</v>
      </c>
    </row>
    <row r="684" spans="19:34" x14ac:dyDescent="0.25">
      <c r="S684" s="13"/>
      <c r="T684" s="13"/>
      <c r="U684" s="13"/>
      <c r="V684" s="13"/>
      <c r="W684" s="12">
        <v>116830</v>
      </c>
      <c r="X684" s="12">
        <v>116850</v>
      </c>
      <c r="Y684" s="12">
        <v>116810</v>
      </c>
      <c r="Z684" s="12">
        <v>116810</v>
      </c>
      <c r="AA684" s="12">
        <v>110880</v>
      </c>
      <c r="AB684" s="12">
        <v>110920</v>
      </c>
      <c r="AC684" s="12">
        <v>110880</v>
      </c>
      <c r="AD684" s="12">
        <v>110920</v>
      </c>
      <c r="AE684" s="11">
        <v>110760</v>
      </c>
      <c r="AF684" s="11">
        <v>110760</v>
      </c>
      <c r="AG684" s="11">
        <v>110720</v>
      </c>
      <c r="AH684" s="11">
        <v>110730</v>
      </c>
    </row>
    <row r="685" spans="19:34" x14ac:dyDescent="0.25">
      <c r="S685" s="13"/>
      <c r="T685" s="13"/>
      <c r="U685" s="13"/>
      <c r="V685" s="13"/>
      <c r="W685" s="11">
        <v>116810</v>
      </c>
      <c r="X685" s="11">
        <v>116830</v>
      </c>
      <c r="Y685" s="11">
        <v>116810</v>
      </c>
      <c r="Z685" s="11">
        <v>116830</v>
      </c>
      <c r="AA685" s="11">
        <v>110920</v>
      </c>
      <c r="AB685" s="11">
        <v>110940</v>
      </c>
      <c r="AC685" s="11">
        <v>110880</v>
      </c>
      <c r="AD685" s="11">
        <v>110900</v>
      </c>
      <c r="AE685" s="12">
        <v>110720</v>
      </c>
      <c r="AF685" s="12">
        <v>110730</v>
      </c>
      <c r="AG685" s="12">
        <v>110690</v>
      </c>
      <c r="AH685" s="12">
        <v>110700</v>
      </c>
    </row>
    <row r="686" spans="19:34" x14ac:dyDescent="0.25">
      <c r="S686" s="13"/>
      <c r="T686" s="13"/>
      <c r="U686" s="13"/>
      <c r="V686" s="13"/>
      <c r="W686" s="12">
        <v>116820</v>
      </c>
      <c r="X686" s="12">
        <v>116830</v>
      </c>
      <c r="Y686" s="12">
        <v>116800</v>
      </c>
      <c r="Z686" s="12">
        <v>116800</v>
      </c>
      <c r="AA686" s="12">
        <v>110900</v>
      </c>
      <c r="AB686" s="12">
        <v>110950</v>
      </c>
      <c r="AC686" s="12">
        <v>110900</v>
      </c>
      <c r="AD686" s="12">
        <v>110940</v>
      </c>
      <c r="AE686" s="11">
        <v>110710</v>
      </c>
      <c r="AF686" s="11">
        <v>110720</v>
      </c>
      <c r="AG686" s="11">
        <v>110700</v>
      </c>
      <c r="AH686" s="11">
        <v>110720</v>
      </c>
    </row>
    <row r="687" spans="19:34" x14ac:dyDescent="0.25">
      <c r="S687" s="13"/>
      <c r="T687" s="13"/>
      <c r="U687" s="13"/>
      <c r="V687" s="13"/>
      <c r="W687" s="11">
        <v>116810</v>
      </c>
      <c r="X687" s="11">
        <v>116810</v>
      </c>
      <c r="Y687" s="11">
        <v>116790</v>
      </c>
      <c r="Z687" s="11">
        <v>116800</v>
      </c>
      <c r="AA687" s="11">
        <v>110930</v>
      </c>
      <c r="AB687" s="11">
        <v>110950</v>
      </c>
      <c r="AC687" s="11">
        <v>110880</v>
      </c>
      <c r="AD687" s="11">
        <v>110950</v>
      </c>
      <c r="AE687" s="12">
        <v>110730</v>
      </c>
      <c r="AF687" s="12">
        <v>110740</v>
      </c>
      <c r="AG687" s="12">
        <v>110710</v>
      </c>
      <c r="AH687" s="12">
        <v>110740</v>
      </c>
    </row>
    <row r="688" spans="19:34" x14ac:dyDescent="0.25">
      <c r="S688" s="13"/>
      <c r="T688" s="13"/>
      <c r="U688" s="13"/>
      <c r="V688" s="13"/>
      <c r="W688" s="12">
        <v>116800</v>
      </c>
      <c r="X688" s="12">
        <v>116820</v>
      </c>
      <c r="Y688" s="12">
        <v>116790</v>
      </c>
      <c r="Z688" s="12">
        <v>116810</v>
      </c>
      <c r="AA688" s="12">
        <v>110950</v>
      </c>
      <c r="AB688" s="12">
        <v>111000</v>
      </c>
      <c r="AC688" s="12">
        <v>110920</v>
      </c>
      <c r="AD688" s="12">
        <v>111000</v>
      </c>
      <c r="AE688" s="11">
        <v>110730</v>
      </c>
      <c r="AF688" s="11">
        <v>110760</v>
      </c>
      <c r="AG688" s="11">
        <v>110730</v>
      </c>
      <c r="AH688" s="11">
        <v>110760</v>
      </c>
    </row>
    <row r="689" spans="19:34" x14ac:dyDescent="0.25">
      <c r="S689" s="13"/>
      <c r="T689" s="13"/>
      <c r="U689" s="13"/>
      <c r="V689" s="13"/>
      <c r="W689" s="11">
        <v>116830</v>
      </c>
      <c r="X689" s="11">
        <v>116830</v>
      </c>
      <c r="Y689" s="11">
        <v>116810</v>
      </c>
      <c r="Z689" s="11">
        <v>116820</v>
      </c>
      <c r="AA689" s="11">
        <v>111000</v>
      </c>
      <c r="AB689" s="11">
        <v>111000</v>
      </c>
      <c r="AC689" s="11">
        <v>110960</v>
      </c>
      <c r="AD689" s="11">
        <v>110990</v>
      </c>
      <c r="AE689" s="12">
        <v>110750</v>
      </c>
      <c r="AF689" s="12">
        <v>110760</v>
      </c>
      <c r="AG689" s="12">
        <v>110720</v>
      </c>
      <c r="AH689" s="12">
        <v>110730</v>
      </c>
    </row>
    <row r="690" spans="19:34" x14ac:dyDescent="0.25">
      <c r="S690" s="13"/>
      <c r="T690" s="13"/>
      <c r="U690" s="13"/>
      <c r="V690" s="13"/>
      <c r="W690" s="12">
        <v>116820</v>
      </c>
      <c r="X690" s="12">
        <v>116830</v>
      </c>
      <c r="Y690" s="12">
        <v>116810</v>
      </c>
      <c r="Z690" s="12">
        <v>116830</v>
      </c>
      <c r="AA690" s="12">
        <v>111000</v>
      </c>
      <c r="AB690" s="12">
        <v>111040</v>
      </c>
      <c r="AC690" s="12">
        <v>110970</v>
      </c>
      <c r="AD690" s="12">
        <v>111020</v>
      </c>
      <c r="AE690" s="11">
        <v>110750</v>
      </c>
      <c r="AF690" s="11">
        <v>110750</v>
      </c>
      <c r="AG690" s="11">
        <v>110720</v>
      </c>
      <c r="AH690" s="11">
        <v>110720</v>
      </c>
    </row>
    <row r="691" spans="19:34" x14ac:dyDescent="0.25">
      <c r="S691" s="13"/>
      <c r="T691" s="13"/>
      <c r="U691" s="13"/>
      <c r="V691" s="13"/>
      <c r="W691" s="11">
        <v>116820</v>
      </c>
      <c r="X691" s="11">
        <v>116830</v>
      </c>
      <c r="Y691" s="11">
        <v>116800</v>
      </c>
      <c r="Z691" s="11">
        <v>116810</v>
      </c>
      <c r="AA691" s="11">
        <v>111030</v>
      </c>
      <c r="AB691" s="11">
        <v>111050</v>
      </c>
      <c r="AC691" s="11">
        <v>111000</v>
      </c>
      <c r="AD691" s="11">
        <v>111010</v>
      </c>
      <c r="AE691" s="12">
        <v>110750</v>
      </c>
      <c r="AF691" s="12">
        <v>110760</v>
      </c>
      <c r="AG691" s="12">
        <v>110740</v>
      </c>
      <c r="AH691" s="12">
        <v>110760</v>
      </c>
    </row>
    <row r="692" spans="19:34" x14ac:dyDescent="0.25">
      <c r="S692" s="13"/>
      <c r="T692" s="13"/>
      <c r="U692" s="13"/>
      <c r="V692" s="13"/>
      <c r="W692" s="12">
        <v>116820</v>
      </c>
      <c r="X692" s="12">
        <v>116850</v>
      </c>
      <c r="Y692" s="12">
        <v>116810</v>
      </c>
      <c r="Z692" s="12">
        <v>116840</v>
      </c>
      <c r="AA692" s="12">
        <v>111010</v>
      </c>
      <c r="AB692" s="12">
        <v>111160</v>
      </c>
      <c r="AC692" s="12">
        <v>111010</v>
      </c>
      <c r="AD692" s="12">
        <v>111140</v>
      </c>
      <c r="AE692" s="11">
        <v>110750</v>
      </c>
      <c r="AF692" s="11">
        <v>110760</v>
      </c>
      <c r="AG692" s="11">
        <v>110740</v>
      </c>
      <c r="AH692" s="11">
        <v>110750</v>
      </c>
    </row>
    <row r="693" spans="19:34" x14ac:dyDescent="0.25">
      <c r="S693" s="13"/>
      <c r="T693" s="13"/>
      <c r="U693" s="13"/>
      <c r="V693" s="13"/>
      <c r="W693" s="11">
        <v>116840</v>
      </c>
      <c r="X693" s="11">
        <v>116850</v>
      </c>
      <c r="Y693" s="11">
        <v>116790</v>
      </c>
      <c r="Z693" s="11">
        <v>116790</v>
      </c>
      <c r="AA693" s="11">
        <v>111140</v>
      </c>
      <c r="AB693" s="11">
        <v>111220</v>
      </c>
      <c r="AC693" s="11">
        <v>111140</v>
      </c>
      <c r="AD693" s="11">
        <v>111170</v>
      </c>
      <c r="AE693" s="12">
        <v>110740</v>
      </c>
      <c r="AF693" s="12">
        <v>110750</v>
      </c>
      <c r="AG693" s="12">
        <v>110710</v>
      </c>
      <c r="AH693" s="12">
        <v>110720</v>
      </c>
    </row>
    <row r="694" spans="19:34" x14ac:dyDescent="0.25">
      <c r="S694" s="13"/>
      <c r="T694" s="13"/>
      <c r="U694" s="13"/>
      <c r="V694" s="13"/>
      <c r="W694" s="12">
        <v>116800</v>
      </c>
      <c r="X694" s="12">
        <v>116820</v>
      </c>
      <c r="Y694" s="12">
        <v>116800</v>
      </c>
      <c r="Z694" s="12">
        <v>116810</v>
      </c>
      <c r="AA694" s="12">
        <v>111170</v>
      </c>
      <c r="AB694" s="12">
        <v>111190</v>
      </c>
      <c r="AC694" s="12">
        <v>111140</v>
      </c>
      <c r="AD694" s="12">
        <v>111180</v>
      </c>
      <c r="AE694" s="11">
        <v>110710</v>
      </c>
      <c r="AF694" s="11">
        <v>110750</v>
      </c>
      <c r="AG694" s="11">
        <v>110710</v>
      </c>
      <c r="AH694" s="11">
        <v>110750</v>
      </c>
    </row>
    <row r="695" spans="19:34" x14ac:dyDescent="0.25">
      <c r="S695" s="13"/>
      <c r="T695" s="13"/>
      <c r="U695" s="13"/>
      <c r="V695" s="13"/>
      <c r="W695" s="11">
        <v>116800</v>
      </c>
      <c r="X695" s="11">
        <v>116810</v>
      </c>
      <c r="Y695" s="11">
        <v>116760</v>
      </c>
      <c r="Z695" s="11">
        <v>116800</v>
      </c>
      <c r="AA695" s="11">
        <v>111180</v>
      </c>
      <c r="AB695" s="11">
        <v>111210</v>
      </c>
      <c r="AC695" s="11">
        <v>111130</v>
      </c>
      <c r="AD695" s="11">
        <v>111150</v>
      </c>
      <c r="AE695" s="12">
        <v>110750</v>
      </c>
      <c r="AF695" s="12">
        <v>110750</v>
      </c>
      <c r="AG695" s="12">
        <v>110730</v>
      </c>
      <c r="AH695" s="12">
        <v>110740</v>
      </c>
    </row>
    <row r="696" spans="19:34" x14ac:dyDescent="0.25">
      <c r="S696" s="13"/>
      <c r="T696" s="13"/>
      <c r="U696" s="13"/>
      <c r="V696" s="13"/>
      <c r="W696" s="12">
        <v>116790</v>
      </c>
      <c r="X696" s="12">
        <v>116800</v>
      </c>
      <c r="Y696" s="12">
        <v>116780</v>
      </c>
      <c r="Z696" s="12">
        <v>116790</v>
      </c>
      <c r="AA696" s="12">
        <v>111130</v>
      </c>
      <c r="AB696" s="12">
        <v>111190</v>
      </c>
      <c r="AC696" s="12">
        <v>111110</v>
      </c>
      <c r="AD696" s="12">
        <v>111160</v>
      </c>
      <c r="AE696" s="11">
        <v>110740</v>
      </c>
      <c r="AF696" s="11">
        <v>110760</v>
      </c>
      <c r="AG696" s="11">
        <v>110730</v>
      </c>
      <c r="AH696" s="11">
        <v>110750</v>
      </c>
    </row>
    <row r="697" spans="19:34" x14ac:dyDescent="0.25">
      <c r="S697" s="13"/>
      <c r="T697" s="13"/>
      <c r="U697" s="13"/>
      <c r="V697" s="13"/>
      <c r="W697" s="11">
        <v>116780</v>
      </c>
      <c r="X697" s="11">
        <v>116790</v>
      </c>
      <c r="Y697" s="11">
        <v>116760</v>
      </c>
      <c r="Z697" s="11">
        <v>116770</v>
      </c>
      <c r="AA697" s="11">
        <v>111150</v>
      </c>
      <c r="AB697" s="11">
        <v>111160</v>
      </c>
      <c r="AC697" s="11">
        <v>111070</v>
      </c>
      <c r="AD697" s="11">
        <v>111080</v>
      </c>
      <c r="AE697" s="12">
        <v>110740</v>
      </c>
      <c r="AF697" s="12">
        <v>110760</v>
      </c>
      <c r="AG697" s="12">
        <v>110740</v>
      </c>
      <c r="AH697" s="12">
        <v>110750</v>
      </c>
    </row>
    <row r="698" spans="19:34" x14ac:dyDescent="0.25">
      <c r="S698" s="13"/>
      <c r="T698" s="13"/>
      <c r="U698" s="13"/>
      <c r="V698" s="13"/>
      <c r="W698" s="12">
        <v>116770</v>
      </c>
      <c r="X698" s="12">
        <v>116780</v>
      </c>
      <c r="Y698" s="12">
        <v>116750</v>
      </c>
      <c r="Z698" s="12">
        <v>116760</v>
      </c>
      <c r="AA698" s="12">
        <v>111070</v>
      </c>
      <c r="AB698" s="12">
        <v>111080</v>
      </c>
      <c r="AC698" s="12">
        <v>110990</v>
      </c>
      <c r="AD698" s="12">
        <v>111010</v>
      </c>
      <c r="AE698" s="11">
        <v>110750</v>
      </c>
      <c r="AF698" s="11">
        <v>110770</v>
      </c>
      <c r="AG698" s="11">
        <v>110750</v>
      </c>
      <c r="AH698" s="11">
        <v>110750</v>
      </c>
    </row>
    <row r="699" spans="19:34" x14ac:dyDescent="0.25">
      <c r="S699" s="13"/>
      <c r="T699" s="13"/>
      <c r="U699" s="13"/>
      <c r="V699" s="13"/>
      <c r="W699" s="11">
        <v>116750</v>
      </c>
      <c r="X699" s="11">
        <v>116780</v>
      </c>
      <c r="Y699" s="11">
        <v>116750</v>
      </c>
      <c r="Z699" s="11">
        <v>116770</v>
      </c>
      <c r="AA699" s="11">
        <v>111020</v>
      </c>
      <c r="AB699" s="11">
        <v>111020</v>
      </c>
      <c r="AC699" s="11">
        <v>110880</v>
      </c>
      <c r="AD699" s="11">
        <v>110920</v>
      </c>
      <c r="AE699" s="12">
        <v>110770</v>
      </c>
      <c r="AF699" s="12">
        <v>110780</v>
      </c>
      <c r="AG699" s="12">
        <v>110750</v>
      </c>
      <c r="AH699" s="12">
        <v>110760</v>
      </c>
    </row>
    <row r="700" spans="19:34" x14ac:dyDescent="0.25">
      <c r="S700" s="13"/>
      <c r="T700" s="13"/>
      <c r="U700" s="13"/>
      <c r="V700" s="13"/>
      <c r="W700" s="12">
        <v>116770</v>
      </c>
      <c r="X700" s="12">
        <v>116770</v>
      </c>
      <c r="Y700" s="12">
        <v>116710</v>
      </c>
      <c r="Z700" s="12">
        <v>116720</v>
      </c>
      <c r="AA700" s="12">
        <v>110910</v>
      </c>
      <c r="AB700" s="12">
        <v>110920</v>
      </c>
      <c r="AC700" s="12">
        <v>110860</v>
      </c>
      <c r="AD700" s="12">
        <v>110900</v>
      </c>
      <c r="AE700" s="11">
        <v>110760</v>
      </c>
      <c r="AF700" s="11">
        <v>110770</v>
      </c>
      <c r="AG700" s="11">
        <v>110740</v>
      </c>
      <c r="AH700" s="11">
        <v>110750</v>
      </c>
    </row>
    <row r="701" spans="19:34" x14ac:dyDescent="0.25">
      <c r="S701" s="13"/>
      <c r="T701" s="13"/>
      <c r="U701" s="13"/>
      <c r="V701" s="13"/>
      <c r="W701" s="11">
        <v>116720</v>
      </c>
      <c r="X701" s="11">
        <v>116730</v>
      </c>
      <c r="Y701" s="11">
        <v>116710</v>
      </c>
      <c r="Z701" s="11">
        <v>116730</v>
      </c>
      <c r="AA701" s="11">
        <v>110890</v>
      </c>
      <c r="AB701" s="11">
        <v>110890</v>
      </c>
      <c r="AC701" s="11">
        <v>110730</v>
      </c>
      <c r="AD701" s="11">
        <v>110760</v>
      </c>
      <c r="AE701" s="12">
        <v>110750</v>
      </c>
      <c r="AF701" s="12">
        <v>110780</v>
      </c>
      <c r="AG701" s="12">
        <v>110750</v>
      </c>
      <c r="AH701" s="12">
        <v>110780</v>
      </c>
    </row>
    <row r="702" spans="19:34" x14ac:dyDescent="0.25">
      <c r="S702" s="13"/>
      <c r="T702" s="13"/>
      <c r="U702" s="13"/>
      <c r="V702" s="13"/>
      <c r="W702" s="12">
        <v>116730</v>
      </c>
      <c r="X702" s="12">
        <v>116760</v>
      </c>
      <c r="Y702" s="12">
        <v>116710</v>
      </c>
      <c r="Z702" s="12">
        <v>116750</v>
      </c>
      <c r="AA702" s="12">
        <v>110760</v>
      </c>
      <c r="AB702" s="12">
        <v>110780</v>
      </c>
      <c r="AC702" s="12">
        <v>110650</v>
      </c>
      <c r="AD702" s="12">
        <v>110680</v>
      </c>
      <c r="AE702" s="11">
        <v>110780</v>
      </c>
      <c r="AF702" s="11">
        <v>110800</v>
      </c>
      <c r="AG702" s="11">
        <v>110770</v>
      </c>
      <c r="AH702" s="11">
        <v>110790</v>
      </c>
    </row>
    <row r="703" spans="19:34" x14ac:dyDescent="0.25">
      <c r="S703" s="13"/>
      <c r="T703" s="13"/>
      <c r="U703" s="13"/>
      <c r="V703" s="13"/>
      <c r="W703" s="11">
        <v>116740</v>
      </c>
      <c r="X703" s="11">
        <v>116760</v>
      </c>
      <c r="Y703" s="11">
        <v>116730</v>
      </c>
      <c r="Z703" s="11">
        <v>116740</v>
      </c>
      <c r="AA703" s="11">
        <v>110680</v>
      </c>
      <c r="AB703" s="11">
        <v>110790</v>
      </c>
      <c r="AC703" s="11">
        <v>110650</v>
      </c>
      <c r="AD703" s="11">
        <v>110780</v>
      </c>
      <c r="AE703" s="12">
        <v>110800</v>
      </c>
      <c r="AF703" s="12">
        <v>110840</v>
      </c>
      <c r="AG703" s="12">
        <v>110780</v>
      </c>
      <c r="AH703" s="12">
        <v>110780</v>
      </c>
    </row>
    <row r="704" spans="19:34" x14ac:dyDescent="0.25">
      <c r="S704" s="13"/>
      <c r="T704" s="13"/>
      <c r="U704" s="13"/>
      <c r="V704" s="13"/>
      <c r="W704" s="12">
        <v>116740</v>
      </c>
      <c r="X704" s="12">
        <v>116740</v>
      </c>
      <c r="Y704" s="12">
        <v>116700</v>
      </c>
      <c r="Z704" s="12">
        <v>116720</v>
      </c>
      <c r="AA704" s="12">
        <v>110770</v>
      </c>
      <c r="AB704" s="12">
        <v>110830</v>
      </c>
      <c r="AC704" s="12">
        <v>110770</v>
      </c>
      <c r="AD704" s="12">
        <v>110790</v>
      </c>
      <c r="AE704" s="11">
        <v>110770</v>
      </c>
      <c r="AF704" s="11">
        <v>110790</v>
      </c>
      <c r="AG704" s="11">
        <v>110760</v>
      </c>
      <c r="AH704" s="11">
        <v>110760</v>
      </c>
    </row>
    <row r="705" spans="19:34" x14ac:dyDescent="0.25">
      <c r="S705" s="13"/>
      <c r="T705" s="13"/>
      <c r="U705" s="13"/>
      <c r="V705" s="13"/>
      <c r="W705" s="11">
        <v>116730</v>
      </c>
      <c r="X705" s="11">
        <v>116740</v>
      </c>
      <c r="Y705" s="11">
        <v>116710</v>
      </c>
      <c r="Z705" s="11">
        <v>116730</v>
      </c>
      <c r="AA705" s="11">
        <v>110800</v>
      </c>
      <c r="AB705" s="11">
        <v>110810</v>
      </c>
      <c r="AC705" s="11">
        <v>110760</v>
      </c>
      <c r="AD705" s="11">
        <v>110780</v>
      </c>
      <c r="AE705" s="12">
        <v>110770</v>
      </c>
      <c r="AF705" s="12">
        <v>110780</v>
      </c>
      <c r="AG705" s="12">
        <v>110740</v>
      </c>
      <c r="AH705" s="12">
        <v>110760</v>
      </c>
    </row>
    <row r="706" spans="19:34" x14ac:dyDescent="0.25">
      <c r="S706" s="13"/>
      <c r="T706" s="13"/>
      <c r="U706" s="13"/>
      <c r="V706" s="13"/>
      <c r="W706" s="12">
        <v>116730</v>
      </c>
      <c r="X706" s="12">
        <v>116730</v>
      </c>
      <c r="Y706" s="12">
        <v>116710</v>
      </c>
      <c r="Z706" s="12">
        <v>116720</v>
      </c>
      <c r="AA706" s="12">
        <v>110770</v>
      </c>
      <c r="AB706" s="12">
        <v>110830</v>
      </c>
      <c r="AC706" s="12">
        <v>110760</v>
      </c>
      <c r="AD706" s="12">
        <v>110810</v>
      </c>
      <c r="AE706" s="11">
        <v>110750</v>
      </c>
      <c r="AF706" s="11">
        <v>110780</v>
      </c>
      <c r="AG706" s="11">
        <v>110750</v>
      </c>
      <c r="AH706" s="11">
        <v>110760</v>
      </c>
    </row>
    <row r="707" spans="19:34" x14ac:dyDescent="0.25">
      <c r="S707" s="13"/>
      <c r="T707" s="13"/>
      <c r="U707" s="13"/>
      <c r="V707" s="13"/>
      <c r="W707" s="11">
        <v>116710</v>
      </c>
      <c r="X707" s="11">
        <v>116730</v>
      </c>
      <c r="Y707" s="11">
        <v>116700</v>
      </c>
      <c r="Z707" s="11">
        <v>116730</v>
      </c>
      <c r="AA707" s="11">
        <v>110810</v>
      </c>
      <c r="AB707" s="11">
        <v>110850</v>
      </c>
      <c r="AC707" s="11">
        <v>110800</v>
      </c>
      <c r="AD707" s="11">
        <v>110850</v>
      </c>
      <c r="AE707" s="12">
        <v>110750</v>
      </c>
      <c r="AF707" s="12">
        <v>110750</v>
      </c>
      <c r="AG707" s="12">
        <v>110720</v>
      </c>
      <c r="AH707" s="12">
        <v>110730</v>
      </c>
    </row>
    <row r="708" spans="19:34" x14ac:dyDescent="0.25">
      <c r="S708" s="13"/>
      <c r="T708" s="13"/>
      <c r="U708" s="13"/>
      <c r="V708" s="13"/>
      <c r="W708" s="12">
        <v>116730</v>
      </c>
      <c r="X708" s="12">
        <v>116760</v>
      </c>
      <c r="Y708" s="12">
        <v>116730</v>
      </c>
      <c r="Z708" s="12">
        <v>116750</v>
      </c>
      <c r="AA708" s="12">
        <v>110850</v>
      </c>
      <c r="AB708" s="12">
        <v>110950</v>
      </c>
      <c r="AC708" s="12">
        <v>110830</v>
      </c>
      <c r="AD708" s="12">
        <v>110930</v>
      </c>
      <c r="AE708" s="11">
        <v>110710</v>
      </c>
      <c r="AF708" s="11">
        <v>110720</v>
      </c>
      <c r="AG708" s="11">
        <v>110680</v>
      </c>
      <c r="AH708" s="11">
        <v>110680</v>
      </c>
    </row>
    <row r="709" spans="19:34" x14ac:dyDescent="0.25">
      <c r="S709" s="13"/>
      <c r="T709" s="13"/>
      <c r="U709" s="13"/>
      <c r="V709" s="13"/>
      <c r="W709" s="11">
        <v>116750</v>
      </c>
      <c r="X709" s="11">
        <v>116770</v>
      </c>
      <c r="Y709" s="11">
        <v>116750</v>
      </c>
      <c r="Z709" s="11">
        <v>116750</v>
      </c>
      <c r="AA709" s="11">
        <v>110920</v>
      </c>
      <c r="AB709" s="11">
        <v>111040</v>
      </c>
      <c r="AC709" s="11">
        <v>110920</v>
      </c>
      <c r="AD709" s="11">
        <v>111010</v>
      </c>
      <c r="AE709" s="12">
        <v>110700</v>
      </c>
      <c r="AF709" s="12">
        <v>110700</v>
      </c>
      <c r="AG709" s="12">
        <v>110660</v>
      </c>
      <c r="AH709" s="12">
        <v>110680</v>
      </c>
    </row>
    <row r="710" spans="19:34" x14ac:dyDescent="0.25">
      <c r="S710" s="13"/>
      <c r="T710" s="13"/>
      <c r="U710" s="13"/>
      <c r="V710" s="13"/>
      <c r="W710" s="12">
        <v>116760</v>
      </c>
      <c r="X710" s="12">
        <v>116780</v>
      </c>
      <c r="Y710" s="12">
        <v>116760</v>
      </c>
      <c r="Z710" s="12">
        <v>116760</v>
      </c>
      <c r="AA710" s="12">
        <v>110990</v>
      </c>
      <c r="AB710" s="12">
        <v>111000</v>
      </c>
      <c r="AC710" s="12">
        <v>110960</v>
      </c>
      <c r="AD710" s="12">
        <v>110970</v>
      </c>
      <c r="AE710" s="11">
        <v>110680</v>
      </c>
      <c r="AF710" s="11">
        <v>110690</v>
      </c>
      <c r="AG710" s="11">
        <v>110660</v>
      </c>
      <c r="AH710" s="11">
        <v>110670</v>
      </c>
    </row>
    <row r="711" spans="19:34" x14ac:dyDescent="0.25">
      <c r="S711" s="13"/>
      <c r="T711" s="13"/>
      <c r="U711" s="13"/>
      <c r="V711" s="13"/>
      <c r="W711" s="11">
        <v>116770</v>
      </c>
      <c r="X711" s="11">
        <v>116810</v>
      </c>
      <c r="Y711" s="11">
        <v>116770</v>
      </c>
      <c r="Z711" s="11">
        <v>116790</v>
      </c>
      <c r="AA711" s="11">
        <v>110990</v>
      </c>
      <c r="AB711" s="11">
        <v>111140</v>
      </c>
      <c r="AC711" s="11">
        <v>110950</v>
      </c>
      <c r="AD711" s="11">
        <v>111100</v>
      </c>
      <c r="AE711" s="12">
        <v>110680</v>
      </c>
      <c r="AF711" s="12">
        <v>110720</v>
      </c>
      <c r="AG711" s="12">
        <v>110680</v>
      </c>
      <c r="AH711" s="12">
        <v>110720</v>
      </c>
    </row>
    <row r="712" spans="19:34" x14ac:dyDescent="0.25">
      <c r="S712" s="13"/>
      <c r="T712" s="13"/>
      <c r="U712" s="13"/>
      <c r="V712" s="13"/>
      <c r="W712" s="12">
        <v>116780</v>
      </c>
      <c r="X712" s="12">
        <v>116780</v>
      </c>
      <c r="Y712" s="12">
        <v>116740</v>
      </c>
      <c r="Z712" s="12">
        <v>116740</v>
      </c>
      <c r="AA712" s="12">
        <v>111100</v>
      </c>
      <c r="AB712" s="12">
        <v>111300</v>
      </c>
      <c r="AC712" s="12">
        <v>111090</v>
      </c>
      <c r="AD712" s="12">
        <v>111250</v>
      </c>
      <c r="AE712" s="11">
        <v>110710</v>
      </c>
      <c r="AF712" s="11">
        <v>110740</v>
      </c>
      <c r="AG712" s="11">
        <v>110710</v>
      </c>
      <c r="AH712" s="11">
        <v>110730</v>
      </c>
    </row>
    <row r="713" spans="19:34" x14ac:dyDescent="0.25">
      <c r="S713" s="13"/>
      <c r="T713" s="13"/>
      <c r="U713" s="13"/>
      <c r="V713" s="13"/>
      <c r="W713" s="11">
        <v>116740</v>
      </c>
      <c r="X713" s="11">
        <v>116750</v>
      </c>
      <c r="Y713" s="11">
        <v>116730</v>
      </c>
      <c r="Z713" s="11">
        <v>116730</v>
      </c>
      <c r="AA713" s="11">
        <v>111250</v>
      </c>
      <c r="AB713" s="11">
        <v>111250</v>
      </c>
      <c r="AC713" s="11">
        <v>111160</v>
      </c>
      <c r="AD713" s="11">
        <v>111230</v>
      </c>
      <c r="AE713" s="12">
        <v>110720</v>
      </c>
      <c r="AF713" s="12">
        <v>110750</v>
      </c>
      <c r="AG713" s="12">
        <v>110710</v>
      </c>
      <c r="AH713" s="12">
        <v>110710</v>
      </c>
    </row>
    <row r="714" spans="19:34" x14ac:dyDescent="0.25">
      <c r="S714" s="13"/>
      <c r="T714" s="13"/>
      <c r="U714" s="13"/>
      <c r="V714" s="13"/>
      <c r="W714" s="12">
        <v>116730</v>
      </c>
      <c r="X714" s="12">
        <v>116740</v>
      </c>
      <c r="Y714" s="12">
        <v>116730</v>
      </c>
      <c r="Z714" s="12">
        <v>116730</v>
      </c>
      <c r="AA714" s="12">
        <v>111210</v>
      </c>
      <c r="AB714" s="12">
        <v>111240</v>
      </c>
      <c r="AC714" s="12">
        <v>111150</v>
      </c>
      <c r="AD714" s="12">
        <v>111240</v>
      </c>
      <c r="AE714" s="11">
        <v>110700</v>
      </c>
      <c r="AF714" s="11">
        <v>110720</v>
      </c>
      <c r="AG714" s="11">
        <v>110670</v>
      </c>
      <c r="AH714" s="11">
        <v>110680</v>
      </c>
    </row>
    <row r="715" spans="19:34" x14ac:dyDescent="0.25">
      <c r="S715" s="13"/>
      <c r="T715" s="13"/>
      <c r="U715" s="13"/>
      <c r="V715" s="13"/>
      <c r="W715" s="11">
        <v>116720</v>
      </c>
      <c r="X715" s="11">
        <v>116730</v>
      </c>
      <c r="Y715" s="11">
        <v>116720</v>
      </c>
      <c r="Z715" s="11">
        <v>116730</v>
      </c>
      <c r="AA715" s="11">
        <v>111250</v>
      </c>
      <c r="AB715" s="11">
        <v>111300</v>
      </c>
      <c r="AC715" s="11">
        <v>111180</v>
      </c>
      <c r="AD715" s="11">
        <v>111220</v>
      </c>
      <c r="AE715" s="12">
        <v>110670</v>
      </c>
      <c r="AF715" s="12">
        <v>110700</v>
      </c>
      <c r="AG715" s="12">
        <v>110670</v>
      </c>
      <c r="AH715" s="12">
        <v>110690</v>
      </c>
    </row>
    <row r="716" spans="19:34" x14ac:dyDescent="0.25">
      <c r="S716" s="13"/>
      <c r="T716" s="13"/>
      <c r="U716" s="13"/>
      <c r="V716" s="13"/>
      <c r="W716" s="12">
        <v>116730</v>
      </c>
      <c r="X716" s="12">
        <v>116800</v>
      </c>
      <c r="Y716" s="12">
        <v>116730</v>
      </c>
      <c r="Z716" s="12">
        <v>116800</v>
      </c>
      <c r="AA716" s="12">
        <v>111220</v>
      </c>
      <c r="AB716" s="12">
        <v>111240</v>
      </c>
      <c r="AC716" s="12">
        <v>111150</v>
      </c>
      <c r="AD716" s="12">
        <v>111170</v>
      </c>
      <c r="AE716" s="11">
        <v>110680</v>
      </c>
      <c r="AF716" s="11">
        <v>110690</v>
      </c>
      <c r="AG716" s="11">
        <v>110680</v>
      </c>
      <c r="AH716" s="11">
        <v>110690</v>
      </c>
    </row>
    <row r="717" spans="19:34" x14ac:dyDescent="0.25">
      <c r="S717" s="13"/>
      <c r="T717" s="13"/>
      <c r="U717" s="13"/>
      <c r="V717" s="13"/>
      <c r="W717" s="11">
        <v>116790</v>
      </c>
      <c r="X717" s="11">
        <v>116790</v>
      </c>
      <c r="Y717" s="11">
        <v>116750</v>
      </c>
      <c r="Z717" s="11">
        <v>116770</v>
      </c>
      <c r="AA717" s="11">
        <v>111170</v>
      </c>
      <c r="AB717" s="11">
        <v>111190</v>
      </c>
      <c r="AC717" s="11">
        <v>111130</v>
      </c>
      <c r="AD717" s="11">
        <v>111150</v>
      </c>
      <c r="AE717" s="12">
        <v>110690</v>
      </c>
      <c r="AF717" s="12">
        <v>110700</v>
      </c>
      <c r="AG717" s="12">
        <v>110680</v>
      </c>
      <c r="AH717" s="12">
        <v>110700</v>
      </c>
    </row>
    <row r="718" spans="19:34" x14ac:dyDescent="0.25">
      <c r="S718" s="13"/>
      <c r="T718" s="13"/>
      <c r="U718" s="13"/>
      <c r="V718" s="13"/>
      <c r="W718" s="12">
        <v>116760</v>
      </c>
      <c r="X718" s="12">
        <v>116780</v>
      </c>
      <c r="Y718" s="12">
        <v>116750</v>
      </c>
      <c r="Z718" s="12">
        <v>116760</v>
      </c>
      <c r="AA718" s="12">
        <v>111140</v>
      </c>
      <c r="AB718" s="12">
        <v>111240</v>
      </c>
      <c r="AC718" s="12">
        <v>111140</v>
      </c>
      <c r="AD718" s="12">
        <v>111230</v>
      </c>
      <c r="AE718" s="11">
        <v>110710</v>
      </c>
      <c r="AF718" s="11">
        <v>110730</v>
      </c>
      <c r="AG718" s="11">
        <v>110710</v>
      </c>
      <c r="AH718" s="11">
        <v>110730</v>
      </c>
    </row>
    <row r="719" spans="19:34" x14ac:dyDescent="0.25">
      <c r="S719" s="13"/>
      <c r="T719" s="13"/>
      <c r="U719" s="13"/>
      <c r="V719" s="13"/>
      <c r="W719" s="11">
        <v>116760</v>
      </c>
      <c r="X719" s="11">
        <v>116770</v>
      </c>
      <c r="Y719" s="11">
        <v>116760</v>
      </c>
      <c r="Z719" s="11">
        <v>116760</v>
      </c>
      <c r="AA719" s="11">
        <v>111240</v>
      </c>
      <c r="AB719" s="11">
        <v>111250</v>
      </c>
      <c r="AC719" s="11">
        <v>111170</v>
      </c>
      <c r="AD719" s="11">
        <v>111200</v>
      </c>
      <c r="AE719" s="12">
        <v>110730</v>
      </c>
      <c r="AF719" s="12">
        <v>110740</v>
      </c>
      <c r="AG719" s="12">
        <v>110700</v>
      </c>
      <c r="AH719" s="12">
        <v>110740</v>
      </c>
    </row>
    <row r="720" spans="19:34" x14ac:dyDescent="0.25">
      <c r="S720" s="13"/>
      <c r="T720" s="13"/>
      <c r="U720" s="13"/>
      <c r="V720" s="13"/>
      <c r="W720" s="12">
        <v>116750</v>
      </c>
      <c r="X720" s="12">
        <v>116770</v>
      </c>
      <c r="Y720" s="12">
        <v>116740</v>
      </c>
      <c r="Z720" s="12">
        <v>116740</v>
      </c>
      <c r="AA720" s="12">
        <v>111200</v>
      </c>
      <c r="AB720" s="12">
        <v>111210</v>
      </c>
      <c r="AC720" s="12">
        <v>111110</v>
      </c>
      <c r="AD720" s="12">
        <v>111120</v>
      </c>
      <c r="AE720" s="11">
        <v>110740</v>
      </c>
      <c r="AF720" s="11">
        <v>110760</v>
      </c>
      <c r="AG720" s="11">
        <v>110740</v>
      </c>
      <c r="AH720" s="11">
        <v>110760</v>
      </c>
    </row>
    <row r="721" spans="19:34" x14ac:dyDescent="0.25">
      <c r="S721" s="13"/>
      <c r="T721" s="13"/>
      <c r="U721" s="13"/>
      <c r="V721" s="13"/>
      <c r="W721" s="11">
        <v>116740</v>
      </c>
      <c r="X721" s="11">
        <v>116750</v>
      </c>
      <c r="Y721" s="11">
        <v>116730</v>
      </c>
      <c r="Z721" s="11">
        <v>116740</v>
      </c>
      <c r="AA721" s="11">
        <v>111130</v>
      </c>
      <c r="AB721" s="11">
        <v>111170</v>
      </c>
      <c r="AC721" s="11">
        <v>111100</v>
      </c>
      <c r="AD721" s="11">
        <v>111120</v>
      </c>
      <c r="AE721" s="12">
        <v>110750</v>
      </c>
      <c r="AF721" s="12">
        <v>110780</v>
      </c>
      <c r="AG721" s="12">
        <v>110750</v>
      </c>
      <c r="AH721" s="12">
        <v>110750</v>
      </c>
    </row>
    <row r="722" spans="19:34" x14ac:dyDescent="0.25">
      <c r="S722" s="13"/>
      <c r="T722" s="13"/>
      <c r="U722" s="13"/>
      <c r="V722" s="13"/>
      <c r="W722" s="12">
        <v>116740</v>
      </c>
      <c r="X722" s="12">
        <v>116750</v>
      </c>
      <c r="Y722" s="12">
        <v>116720</v>
      </c>
      <c r="Z722" s="12">
        <v>116740</v>
      </c>
      <c r="AA722" s="12">
        <v>111110</v>
      </c>
      <c r="AB722" s="12">
        <v>111110</v>
      </c>
      <c r="AC722" s="12">
        <v>111030</v>
      </c>
      <c r="AD722" s="12">
        <v>111030</v>
      </c>
      <c r="AE722" s="11">
        <v>110750</v>
      </c>
      <c r="AF722" s="11">
        <v>110760</v>
      </c>
      <c r="AG722" s="11">
        <v>110730</v>
      </c>
      <c r="AH722" s="11">
        <v>110750</v>
      </c>
    </row>
    <row r="723" spans="19:34" x14ac:dyDescent="0.25">
      <c r="S723" s="13"/>
      <c r="T723" s="13"/>
      <c r="U723" s="13"/>
      <c r="V723" s="13"/>
      <c r="W723" s="11">
        <v>116740</v>
      </c>
      <c r="X723" s="11">
        <v>116790</v>
      </c>
      <c r="Y723" s="11">
        <v>116740</v>
      </c>
      <c r="Z723" s="11">
        <v>116770</v>
      </c>
      <c r="AA723" s="11">
        <v>111020</v>
      </c>
      <c r="AB723" s="11">
        <v>111040</v>
      </c>
      <c r="AC723" s="11">
        <v>110860</v>
      </c>
      <c r="AD723" s="11">
        <v>110910</v>
      </c>
      <c r="AE723" s="12">
        <v>110760</v>
      </c>
      <c r="AF723" s="12">
        <v>110760</v>
      </c>
      <c r="AG723" s="12">
        <v>110680</v>
      </c>
      <c r="AH723" s="12">
        <v>110700</v>
      </c>
    </row>
    <row r="724" spans="19:34" x14ac:dyDescent="0.25">
      <c r="S724" s="13"/>
      <c r="T724" s="13"/>
      <c r="U724" s="13"/>
      <c r="V724" s="13"/>
      <c r="W724" s="12">
        <v>116770</v>
      </c>
      <c r="X724" s="12">
        <v>116770</v>
      </c>
      <c r="Y724" s="12">
        <v>116740</v>
      </c>
      <c r="Z724" s="12">
        <v>116750</v>
      </c>
      <c r="AA724" s="12">
        <v>110910</v>
      </c>
      <c r="AB724" s="12">
        <v>111050</v>
      </c>
      <c r="AC724" s="12">
        <v>110890</v>
      </c>
      <c r="AD724" s="12">
        <v>111040</v>
      </c>
      <c r="AE724" s="11">
        <v>110700</v>
      </c>
      <c r="AF724" s="11">
        <v>110710</v>
      </c>
      <c r="AG724" s="11">
        <v>110610</v>
      </c>
      <c r="AH724" s="11">
        <v>110640</v>
      </c>
    </row>
    <row r="725" spans="19:34" x14ac:dyDescent="0.25">
      <c r="S725" s="13"/>
      <c r="T725" s="13"/>
      <c r="U725" s="13"/>
      <c r="V725" s="13"/>
      <c r="W725" s="11">
        <v>116750</v>
      </c>
      <c r="X725" s="11">
        <v>116770</v>
      </c>
      <c r="Y725" s="11">
        <v>116740</v>
      </c>
      <c r="Z725" s="11">
        <v>116740</v>
      </c>
      <c r="AA725" s="11">
        <v>111050</v>
      </c>
      <c r="AB725" s="11">
        <v>111050</v>
      </c>
      <c r="AC725" s="11">
        <v>110970</v>
      </c>
      <c r="AD725" s="11">
        <v>110970</v>
      </c>
      <c r="AE725" s="12">
        <v>110640</v>
      </c>
      <c r="AF725" s="12">
        <v>110720</v>
      </c>
      <c r="AG725" s="12">
        <v>110610</v>
      </c>
      <c r="AH725" s="12">
        <v>110700</v>
      </c>
    </row>
    <row r="726" spans="19:34" x14ac:dyDescent="0.25">
      <c r="S726" s="13"/>
      <c r="T726" s="13"/>
      <c r="U726" s="13"/>
      <c r="V726" s="13"/>
      <c r="W726" s="12">
        <v>116740</v>
      </c>
      <c r="X726" s="12">
        <v>116770</v>
      </c>
      <c r="Y726" s="12">
        <v>116740</v>
      </c>
      <c r="Z726" s="12">
        <v>116750</v>
      </c>
      <c r="AA726" s="12">
        <v>110960</v>
      </c>
      <c r="AB726" s="12">
        <v>110970</v>
      </c>
      <c r="AC726" s="12">
        <v>110940</v>
      </c>
      <c r="AD726" s="12">
        <v>110940</v>
      </c>
      <c r="AE726" s="11">
        <v>110700</v>
      </c>
      <c r="AF726" s="11">
        <v>110750</v>
      </c>
      <c r="AG726" s="11">
        <v>110680</v>
      </c>
      <c r="AH726" s="11">
        <v>110720</v>
      </c>
    </row>
    <row r="727" spans="19:34" x14ac:dyDescent="0.25">
      <c r="S727" s="13"/>
      <c r="T727" s="13"/>
      <c r="U727" s="13"/>
      <c r="V727" s="13"/>
      <c r="W727" s="11">
        <v>116750</v>
      </c>
      <c r="X727" s="11">
        <v>116780</v>
      </c>
      <c r="Y727" s="11">
        <v>116740</v>
      </c>
      <c r="Z727" s="11">
        <v>116770</v>
      </c>
      <c r="AA727" s="11">
        <v>110940</v>
      </c>
      <c r="AB727" s="11">
        <v>110950</v>
      </c>
      <c r="AC727" s="11">
        <v>110890</v>
      </c>
      <c r="AD727" s="11">
        <v>110940</v>
      </c>
      <c r="AE727" s="12">
        <v>110700</v>
      </c>
      <c r="AF727" s="12">
        <v>110750</v>
      </c>
      <c r="AG727" s="12">
        <v>110700</v>
      </c>
      <c r="AH727" s="12">
        <v>110700</v>
      </c>
    </row>
    <row r="728" spans="19:34" x14ac:dyDescent="0.25">
      <c r="S728" s="13"/>
      <c r="T728" s="13"/>
      <c r="U728" s="13"/>
      <c r="V728" s="13"/>
      <c r="W728" s="12">
        <v>116760</v>
      </c>
      <c r="X728" s="12">
        <v>116780</v>
      </c>
      <c r="Y728" s="12">
        <v>116750</v>
      </c>
      <c r="Z728" s="12">
        <v>116780</v>
      </c>
      <c r="AA728" s="12">
        <v>110940</v>
      </c>
      <c r="AB728" s="12">
        <v>111090</v>
      </c>
      <c r="AC728" s="12">
        <v>110940</v>
      </c>
      <c r="AD728" s="12">
        <v>111060</v>
      </c>
      <c r="AE728" s="11">
        <v>110710</v>
      </c>
      <c r="AF728" s="11">
        <v>110710</v>
      </c>
      <c r="AG728" s="11">
        <v>110650</v>
      </c>
      <c r="AH728" s="11">
        <v>110680</v>
      </c>
    </row>
    <row r="729" spans="19:34" x14ac:dyDescent="0.25">
      <c r="S729" s="13"/>
      <c r="T729" s="13"/>
      <c r="U729" s="13"/>
      <c r="V729" s="13"/>
      <c r="W729" s="11">
        <v>116790</v>
      </c>
      <c r="X729" s="11">
        <v>116800</v>
      </c>
      <c r="Y729" s="11">
        <v>116790</v>
      </c>
      <c r="Z729" s="11">
        <v>116790</v>
      </c>
      <c r="AA729" s="11">
        <v>111070</v>
      </c>
      <c r="AB729" s="11">
        <v>111100</v>
      </c>
      <c r="AC729" s="11">
        <v>111040</v>
      </c>
      <c r="AD729" s="11">
        <v>111090</v>
      </c>
      <c r="AE729" s="12">
        <v>110650</v>
      </c>
      <c r="AF729" s="12">
        <v>110700</v>
      </c>
      <c r="AG729" s="12">
        <v>110640</v>
      </c>
      <c r="AH729" s="12">
        <v>110660</v>
      </c>
    </row>
    <row r="730" spans="19:34" x14ac:dyDescent="0.25">
      <c r="S730" s="13"/>
      <c r="T730" s="13"/>
      <c r="U730" s="13"/>
      <c r="V730" s="13"/>
      <c r="W730" s="12">
        <v>116800</v>
      </c>
      <c r="X730" s="12">
        <v>116820</v>
      </c>
      <c r="Y730" s="12">
        <v>116790</v>
      </c>
      <c r="Z730" s="12">
        <v>116810</v>
      </c>
      <c r="AA730" s="12">
        <v>111080</v>
      </c>
      <c r="AB730" s="12">
        <v>111100</v>
      </c>
      <c r="AC730" s="12">
        <v>111000</v>
      </c>
      <c r="AD730" s="12">
        <v>111020</v>
      </c>
      <c r="AE730" s="11">
        <v>110640</v>
      </c>
      <c r="AF730" s="11">
        <v>110690</v>
      </c>
      <c r="AG730" s="11">
        <v>110640</v>
      </c>
      <c r="AH730" s="11">
        <v>110660</v>
      </c>
    </row>
    <row r="731" spans="19:34" x14ac:dyDescent="0.25">
      <c r="S731" s="13"/>
      <c r="T731" s="13"/>
      <c r="U731" s="13"/>
      <c r="V731" s="13"/>
      <c r="W731" s="11">
        <v>116810</v>
      </c>
      <c r="X731" s="11">
        <v>116820</v>
      </c>
      <c r="Y731" s="11">
        <v>116800</v>
      </c>
      <c r="Z731" s="11">
        <v>116810</v>
      </c>
      <c r="AA731" s="11">
        <v>111030</v>
      </c>
      <c r="AB731" s="11">
        <v>111070</v>
      </c>
      <c r="AC731" s="11">
        <v>111020</v>
      </c>
      <c r="AD731" s="11">
        <v>111040</v>
      </c>
      <c r="AE731" s="12">
        <v>110650</v>
      </c>
      <c r="AF731" s="12">
        <v>110670</v>
      </c>
      <c r="AG731" s="12">
        <v>110600</v>
      </c>
      <c r="AH731" s="12">
        <v>110630</v>
      </c>
    </row>
    <row r="732" spans="19:34" x14ac:dyDescent="0.25">
      <c r="S732" s="13"/>
      <c r="T732" s="13"/>
      <c r="U732" s="13"/>
      <c r="V732" s="13"/>
      <c r="W732" s="12">
        <v>116800</v>
      </c>
      <c r="X732" s="12">
        <v>116820</v>
      </c>
      <c r="Y732" s="12">
        <v>116790</v>
      </c>
      <c r="Z732" s="12">
        <v>116800</v>
      </c>
      <c r="AA732" s="12">
        <v>111040</v>
      </c>
      <c r="AB732" s="12">
        <v>111060</v>
      </c>
      <c r="AC732" s="12">
        <v>110970</v>
      </c>
      <c r="AD732" s="12">
        <v>111000</v>
      </c>
      <c r="AE732" s="11">
        <v>110620</v>
      </c>
      <c r="AF732" s="11">
        <v>110670</v>
      </c>
      <c r="AG732" s="11">
        <v>110620</v>
      </c>
      <c r="AH732" s="11">
        <v>110640</v>
      </c>
    </row>
    <row r="733" spans="19:34" x14ac:dyDescent="0.25">
      <c r="S733" s="13"/>
      <c r="T733" s="13"/>
      <c r="U733" s="13"/>
      <c r="V733" s="13"/>
      <c r="W733" s="11">
        <v>116800</v>
      </c>
      <c r="X733" s="11">
        <v>116840</v>
      </c>
      <c r="Y733" s="11">
        <v>116800</v>
      </c>
      <c r="Z733" s="11">
        <v>116830</v>
      </c>
      <c r="AA733" s="11">
        <v>111020</v>
      </c>
      <c r="AB733" s="11">
        <v>111130</v>
      </c>
      <c r="AC733" s="11">
        <v>110990</v>
      </c>
      <c r="AD733" s="11">
        <v>111110</v>
      </c>
      <c r="AE733" s="12">
        <v>110650</v>
      </c>
      <c r="AF733" s="12">
        <v>110670</v>
      </c>
      <c r="AG733" s="12">
        <v>110620</v>
      </c>
      <c r="AH733" s="12">
        <v>110630</v>
      </c>
    </row>
    <row r="734" spans="19:34" x14ac:dyDescent="0.25">
      <c r="S734" s="13"/>
      <c r="T734" s="13"/>
      <c r="U734" s="13"/>
      <c r="V734" s="13"/>
      <c r="W734" s="12">
        <v>116840</v>
      </c>
      <c r="X734" s="12">
        <v>116840</v>
      </c>
      <c r="Y734" s="12">
        <v>116800</v>
      </c>
      <c r="Z734" s="12">
        <v>116800</v>
      </c>
      <c r="AA734" s="12">
        <v>111120</v>
      </c>
      <c r="AB734" s="12">
        <v>111220</v>
      </c>
      <c r="AC734" s="12">
        <v>111110</v>
      </c>
      <c r="AD734" s="12">
        <v>111190</v>
      </c>
      <c r="AE734" s="11">
        <v>110630</v>
      </c>
      <c r="AF734" s="11">
        <v>110640</v>
      </c>
      <c r="AG734" s="11">
        <v>110600</v>
      </c>
      <c r="AH734" s="11">
        <v>110600</v>
      </c>
    </row>
    <row r="735" spans="19:34" x14ac:dyDescent="0.25">
      <c r="S735" s="13"/>
      <c r="T735" s="13"/>
      <c r="U735" s="13"/>
      <c r="V735" s="13"/>
      <c r="W735" s="11">
        <v>116810</v>
      </c>
      <c r="X735" s="11">
        <v>116820</v>
      </c>
      <c r="Y735" s="11">
        <v>116800</v>
      </c>
      <c r="Z735" s="11">
        <v>116810</v>
      </c>
      <c r="AA735" s="11">
        <v>111180</v>
      </c>
      <c r="AB735" s="11">
        <v>111250</v>
      </c>
      <c r="AC735" s="11">
        <v>111180</v>
      </c>
      <c r="AD735" s="11">
        <v>111180</v>
      </c>
      <c r="AE735" s="12">
        <v>110600</v>
      </c>
      <c r="AF735" s="12">
        <v>110610</v>
      </c>
      <c r="AG735" s="12">
        <v>110580</v>
      </c>
      <c r="AH735" s="12">
        <v>110600</v>
      </c>
    </row>
    <row r="736" spans="19:34" x14ac:dyDescent="0.25">
      <c r="S736" s="13"/>
      <c r="T736" s="13"/>
      <c r="U736" s="13"/>
      <c r="V736" s="13"/>
      <c r="W736" s="12">
        <v>116820</v>
      </c>
      <c r="X736" s="12">
        <v>116840</v>
      </c>
      <c r="Y736" s="12">
        <v>116820</v>
      </c>
      <c r="Z736" s="12">
        <v>116830</v>
      </c>
      <c r="AA736" s="12">
        <v>111190</v>
      </c>
      <c r="AB736" s="12">
        <v>111200</v>
      </c>
      <c r="AC736" s="12">
        <v>111120</v>
      </c>
      <c r="AD736" s="12">
        <v>111130</v>
      </c>
      <c r="AE736" s="11">
        <v>110600</v>
      </c>
      <c r="AF736" s="11">
        <v>110610</v>
      </c>
      <c r="AG736" s="11">
        <v>110560</v>
      </c>
      <c r="AH736" s="11">
        <v>110570</v>
      </c>
    </row>
    <row r="737" spans="19:34" x14ac:dyDescent="0.25">
      <c r="S737" s="13"/>
      <c r="T737" s="13"/>
      <c r="U737" s="13"/>
      <c r="V737" s="13"/>
      <c r="W737" s="11">
        <v>116830</v>
      </c>
      <c r="X737" s="11">
        <v>116860</v>
      </c>
      <c r="Y737" s="11">
        <v>116820</v>
      </c>
      <c r="Z737" s="11">
        <v>116850</v>
      </c>
      <c r="AA737" s="11">
        <v>111140</v>
      </c>
      <c r="AB737" s="11">
        <v>111220</v>
      </c>
      <c r="AC737" s="11">
        <v>111090</v>
      </c>
      <c r="AD737" s="11">
        <v>111110</v>
      </c>
      <c r="AE737" s="12">
        <v>110570</v>
      </c>
      <c r="AF737" s="12">
        <v>110620</v>
      </c>
      <c r="AG737" s="12">
        <v>110560</v>
      </c>
      <c r="AH737" s="12">
        <v>110620</v>
      </c>
    </row>
    <row r="738" spans="19:34" x14ac:dyDescent="0.25">
      <c r="S738" s="13"/>
      <c r="T738" s="13"/>
      <c r="U738" s="13"/>
      <c r="V738" s="13"/>
      <c r="W738" s="12">
        <v>116840</v>
      </c>
      <c r="X738" s="12">
        <v>116860</v>
      </c>
      <c r="Y738" s="12">
        <v>116820</v>
      </c>
      <c r="Z738" s="12">
        <v>116830</v>
      </c>
      <c r="AA738" s="12">
        <v>111130</v>
      </c>
      <c r="AB738" s="12">
        <v>111140</v>
      </c>
      <c r="AC738" s="12">
        <v>111030</v>
      </c>
      <c r="AD738" s="12">
        <v>111070</v>
      </c>
      <c r="AE738" s="11">
        <v>110620</v>
      </c>
      <c r="AF738" s="11">
        <v>110670</v>
      </c>
      <c r="AG738" s="11">
        <v>110600</v>
      </c>
      <c r="AH738" s="11">
        <v>110600</v>
      </c>
    </row>
    <row r="739" spans="19:34" x14ac:dyDescent="0.25">
      <c r="S739" s="13"/>
      <c r="T739" s="13"/>
      <c r="U739" s="13"/>
      <c r="V739" s="13"/>
      <c r="W739" s="11">
        <v>116820</v>
      </c>
      <c r="X739" s="11">
        <v>116840</v>
      </c>
      <c r="Y739" s="11">
        <v>116820</v>
      </c>
      <c r="Z739" s="11">
        <v>116820</v>
      </c>
      <c r="AA739" s="11">
        <v>111070</v>
      </c>
      <c r="AB739" s="11">
        <v>111140</v>
      </c>
      <c r="AC739" s="11">
        <v>111040</v>
      </c>
      <c r="AD739" s="11">
        <v>111090</v>
      </c>
      <c r="AE739" s="12">
        <v>110610</v>
      </c>
      <c r="AF739" s="12">
        <v>110610</v>
      </c>
      <c r="AG739" s="12">
        <v>110540</v>
      </c>
      <c r="AH739" s="12">
        <v>110550</v>
      </c>
    </row>
    <row r="740" spans="19:34" x14ac:dyDescent="0.25">
      <c r="S740" s="13"/>
      <c r="T740" s="13"/>
      <c r="U740" s="13"/>
      <c r="V740" s="13"/>
      <c r="W740" s="12">
        <v>116820</v>
      </c>
      <c r="X740" s="12">
        <v>116840</v>
      </c>
      <c r="Y740" s="12">
        <v>116820</v>
      </c>
      <c r="Z740" s="12">
        <v>116830</v>
      </c>
      <c r="AA740" s="12">
        <v>111090</v>
      </c>
      <c r="AB740" s="12">
        <v>111130</v>
      </c>
      <c r="AC740" s="12">
        <v>111070</v>
      </c>
      <c r="AD740" s="12">
        <v>111070</v>
      </c>
      <c r="AE740" s="11">
        <v>110540</v>
      </c>
      <c r="AF740" s="11">
        <v>110590</v>
      </c>
      <c r="AG740" s="11">
        <v>110530</v>
      </c>
      <c r="AH740" s="11">
        <v>110580</v>
      </c>
    </row>
    <row r="741" spans="19:34" x14ac:dyDescent="0.25">
      <c r="S741" s="13"/>
      <c r="T741" s="13"/>
      <c r="U741" s="13"/>
      <c r="V741" s="13"/>
      <c r="W741" s="11">
        <v>116820</v>
      </c>
      <c r="X741" s="11">
        <v>116890</v>
      </c>
      <c r="Y741" s="11">
        <v>116820</v>
      </c>
      <c r="Z741" s="11">
        <v>116880</v>
      </c>
      <c r="AA741" s="11">
        <v>111080</v>
      </c>
      <c r="AB741" s="11">
        <v>111110</v>
      </c>
      <c r="AC741" s="11">
        <v>111040</v>
      </c>
      <c r="AD741" s="11">
        <v>111080</v>
      </c>
      <c r="AE741" s="12">
        <v>110580</v>
      </c>
      <c r="AF741" s="12">
        <v>110610</v>
      </c>
      <c r="AG741" s="12">
        <v>110570</v>
      </c>
      <c r="AH741" s="12">
        <v>110600</v>
      </c>
    </row>
    <row r="742" spans="19:34" x14ac:dyDescent="0.25">
      <c r="S742" s="13"/>
      <c r="T742" s="13"/>
      <c r="U742" s="13"/>
      <c r="V742" s="13"/>
      <c r="W742" s="12">
        <v>116880</v>
      </c>
      <c r="X742" s="12">
        <v>116910</v>
      </c>
      <c r="Y742" s="12">
        <v>116870</v>
      </c>
      <c r="Z742" s="12">
        <v>116900</v>
      </c>
      <c r="AA742" s="12">
        <v>111090</v>
      </c>
      <c r="AB742" s="12">
        <v>111110</v>
      </c>
      <c r="AC742" s="12">
        <v>111050</v>
      </c>
      <c r="AD742" s="12">
        <v>111090</v>
      </c>
      <c r="AE742" s="11">
        <v>110590</v>
      </c>
      <c r="AF742" s="11">
        <v>110650</v>
      </c>
      <c r="AG742" s="11">
        <v>110590</v>
      </c>
      <c r="AH742" s="11">
        <v>110630</v>
      </c>
    </row>
    <row r="743" spans="19:34" x14ac:dyDescent="0.25">
      <c r="S743" s="13"/>
      <c r="T743" s="13"/>
      <c r="U743" s="13"/>
      <c r="V743" s="13"/>
      <c r="W743" s="11">
        <v>116880</v>
      </c>
      <c r="X743" s="11">
        <v>116930</v>
      </c>
      <c r="Y743" s="11">
        <v>116880</v>
      </c>
      <c r="Z743" s="11">
        <v>116920</v>
      </c>
      <c r="AA743" s="11">
        <v>111090</v>
      </c>
      <c r="AB743" s="11">
        <v>111160</v>
      </c>
      <c r="AC743" s="11">
        <v>111080</v>
      </c>
      <c r="AD743" s="11">
        <v>111160</v>
      </c>
      <c r="AE743" s="12">
        <v>110640</v>
      </c>
      <c r="AF743" s="12">
        <v>110650</v>
      </c>
      <c r="AG743" s="12">
        <v>110620</v>
      </c>
      <c r="AH743" s="12">
        <v>110630</v>
      </c>
    </row>
    <row r="744" spans="19:34" x14ac:dyDescent="0.25">
      <c r="S744" s="13"/>
      <c r="T744" s="13"/>
      <c r="U744" s="13"/>
      <c r="V744" s="13"/>
      <c r="W744" s="12">
        <v>116920</v>
      </c>
      <c r="X744" s="12">
        <v>116920</v>
      </c>
      <c r="Y744" s="12">
        <v>116880</v>
      </c>
      <c r="Z744" s="12">
        <v>116880</v>
      </c>
      <c r="AA744" s="12">
        <v>111160</v>
      </c>
      <c r="AB744" s="12">
        <v>111170</v>
      </c>
      <c r="AC744" s="12">
        <v>111080</v>
      </c>
      <c r="AD744" s="12">
        <v>111110</v>
      </c>
      <c r="AE744" s="11">
        <v>110620</v>
      </c>
      <c r="AF744" s="11">
        <v>110630</v>
      </c>
      <c r="AG744" s="11">
        <v>110530</v>
      </c>
      <c r="AH744" s="11">
        <v>110550</v>
      </c>
    </row>
    <row r="745" spans="19:34" x14ac:dyDescent="0.25">
      <c r="S745" s="13"/>
      <c r="T745" s="13"/>
      <c r="U745" s="13"/>
      <c r="V745" s="13"/>
      <c r="W745" s="11">
        <v>116890</v>
      </c>
      <c r="X745" s="11">
        <v>116940</v>
      </c>
      <c r="Y745" s="11">
        <v>116880</v>
      </c>
      <c r="Z745" s="11">
        <v>116910</v>
      </c>
      <c r="AA745" s="11">
        <v>111090</v>
      </c>
      <c r="AB745" s="11">
        <v>111170</v>
      </c>
      <c r="AC745" s="11">
        <v>111090</v>
      </c>
      <c r="AD745" s="11">
        <v>111170</v>
      </c>
      <c r="AE745" s="12">
        <v>110550</v>
      </c>
      <c r="AF745" s="12">
        <v>110610</v>
      </c>
      <c r="AG745" s="12">
        <v>110540</v>
      </c>
      <c r="AH745" s="12">
        <v>110610</v>
      </c>
    </row>
    <row r="746" spans="19:34" x14ac:dyDescent="0.25">
      <c r="S746" s="13"/>
      <c r="T746" s="13"/>
      <c r="U746" s="13"/>
      <c r="V746" s="13"/>
      <c r="W746" s="12">
        <v>116920</v>
      </c>
      <c r="X746" s="12">
        <v>116940</v>
      </c>
      <c r="Y746" s="12">
        <v>116920</v>
      </c>
      <c r="Z746" s="12">
        <v>116920</v>
      </c>
      <c r="AA746" s="12">
        <v>111180</v>
      </c>
      <c r="AB746" s="12">
        <v>111200</v>
      </c>
      <c r="AC746" s="12">
        <v>111150</v>
      </c>
      <c r="AD746" s="12">
        <v>111160</v>
      </c>
      <c r="AE746" s="11">
        <v>110600</v>
      </c>
      <c r="AF746" s="11">
        <v>110600</v>
      </c>
      <c r="AG746" s="11">
        <v>110560</v>
      </c>
      <c r="AH746" s="11">
        <v>110580</v>
      </c>
    </row>
    <row r="747" spans="19:34" x14ac:dyDescent="0.25">
      <c r="S747" s="13"/>
      <c r="T747" s="13"/>
      <c r="U747" s="13"/>
      <c r="V747" s="13"/>
      <c r="W747" s="11">
        <v>116930</v>
      </c>
      <c r="X747" s="11">
        <v>116940</v>
      </c>
      <c r="Y747" s="11">
        <v>116910</v>
      </c>
      <c r="Z747" s="11">
        <v>116910</v>
      </c>
      <c r="AA747" s="11">
        <v>111170</v>
      </c>
      <c r="AB747" s="11">
        <v>111260</v>
      </c>
      <c r="AC747" s="11">
        <v>111130</v>
      </c>
      <c r="AD747" s="11">
        <v>111250</v>
      </c>
      <c r="AE747" s="12">
        <v>110590</v>
      </c>
      <c r="AF747" s="12">
        <v>110640</v>
      </c>
      <c r="AG747" s="12">
        <v>110590</v>
      </c>
      <c r="AH747" s="12">
        <v>110630</v>
      </c>
    </row>
    <row r="748" spans="19:34" x14ac:dyDescent="0.25">
      <c r="S748" s="13"/>
      <c r="T748" s="13"/>
      <c r="U748" s="13"/>
      <c r="V748" s="13"/>
      <c r="W748" s="12">
        <v>116920</v>
      </c>
      <c r="X748" s="12">
        <v>116920</v>
      </c>
      <c r="Y748" s="12">
        <v>116900</v>
      </c>
      <c r="Z748" s="12">
        <v>116910</v>
      </c>
      <c r="AA748" s="12">
        <v>111240</v>
      </c>
      <c r="AB748" s="12">
        <v>111250</v>
      </c>
      <c r="AC748" s="12">
        <v>111180</v>
      </c>
      <c r="AD748" s="12">
        <v>111250</v>
      </c>
      <c r="AE748" s="11">
        <v>110640</v>
      </c>
      <c r="AF748" s="11">
        <v>110660</v>
      </c>
      <c r="AG748" s="11">
        <v>110590</v>
      </c>
      <c r="AH748" s="11">
        <v>110590</v>
      </c>
    </row>
    <row r="749" spans="19:34" x14ac:dyDescent="0.25">
      <c r="S749" s="13"/>
      <c r="T749" s="13"/>
      <c r="U749" s="13"/>
      <c r="V749" s="13"/>
      <c r="W749" s="11">
        <v>116900</v>
      </c>
      <c r="X749" s="11">
        <v>116900</v>
      </c>
      <c r="Y749" s="11">
        <v>116860</v>
      </c>
      <c r="Z749" s="11">
        <v>116870</v>
      </c>
      <c r="AA749" s="11">
        <v>111240</v>
      </c>
      <c r="AB749" s="11">
        <v>111340</v>
      </c>
      <c r="AC749" s="11">
        <v>111220</v>
      </c>
      <c r="AD749" s="11">
        <v>111330</v>
      </c>
      <c r="AE749" s="12">
        <v>110600</v>
      </c>
      <c r="AF749" s="12">
        <v>110630</v>
      </c>
      <c r="AG749" s="12">
        <v>110600</v>
      </c>
      <c r="AH749" s="12">
        <v>110630</v>
      </c>
    </row>
    <row r="750" spans="19:34" x14ac:dyDescent="0.25">
      <c r="S750" s="13"/>
      <c r="T750" s="13"/>
      <c r="U750" s="13"/>
      <c r="V750" s="13"/>
      <c r="W750" s="12">
        <v>116880</v>
      </c>
      <c r="X750" s="12">
        <v>116890</v>
      </c>
      <c r="Y750" s="12">
        <v>116870</v>
      </c>
      <c r="Z750" s="12">
        <v>116890</v>
      </c>
      <c r="AA750" s="12">
        <v>111320</v>
      </c>
      <c r="AB750" s="12">
        <v>111340</v>
      </c>
      <c r="AC750" s="12">
        <v>111260</v>
      </c>
      <c r="AD750" s="12">
        <v>111290</v>
      </c>
      <c r="AE750" s="11">
        <v>110640</v>
      </c>
      <c r="AF750" s="11">
        <v>110650</v>
      </c>
      <c r="AG750" s="11">
        <v>110580</v>
      </c>
      <c r="AH750" s="11">
        <v>110580</v>
      </c>
    </row>
    <row r="751" spans="19:34" x14ac:dyDescent="0.25">
      <c r="S751" s="13"/>
      <c r="T751" s="13"/>
      <c r="U751" s="13"/>
      <c r="V751" s="13"/>
      <c r="W751" s="11">
        <v>116880</v>
      </c>
      <c r="X751" s="11">
        <v>116890</v>
      </c>
      <c r="Y751" s="11">
        <v>116830</v>
      </c>
      <c r="Z751" s="11">
        <v>116890</v>
      </c>
      <c r="AA751" s="11">
        <v>111300</v>
      </c>
      <c r="AB751" s="11">
        <v>111420</v>
      </c>
      <c r="AC751" s="11">
        <v>111290</v>
      </c>
      <c r="AD751" s="11">
        <v>111410</v>
      </c>
      <c r="AE751" s="12">
        <v>110590</v>
      </c>
      <c r="AF751" s="12">
        <v>110610</v>
      </c>
      <c r="AG751" s="12">
        <v>110590</v>
      </c>
      <c r="AH751" s="12">
        <v>110610</v>
      </c>
    </row>
    <row r="752" spans="19:34" x14ac:dyDescent="0.25">
      <c r="S752" s="13"/>
      <c r="T752" s="13"/>
      <c r="U752" s="13"/>
      <c r="V752" s="13"/>
      <c r="W752" s="12">
        <v>116880</v>
      </c>
      <c r="X752" s="12">
        <v>116900</v>
      </c>
      <c r="Y752" s="12">
        <v>116840</v>
      </c>
      <c r="Z752" s="12">
        <v>116840</v>
      </c>
      <c r="AA752" s="12">
        <v>111390</v>
      </c>
      <c r="AB752" s="12">
        <v>111460</v>
      </c>
      <c r="AC752" s="12">
        <v>111380</v>
      </c>
      <c r="AD752" s="12">
        <v>111420</v>
      </c>
      <c r="AE752" s="11">
        <v>110600</v>
      </c>
      <c r="AF752" s="11">
        <v>110600</v>
      </c>
      <c r="AG752" s="11">
        <v>110550</v>
      </c>
      <c r="AH752" s="11">
        <v>110600</v>
      </c>
    </row>
    <row r="753" spans="19:34" x14ac:dyDescent="0.25">
      <c r="S753" s="13"/>
      <c r="T753" s="13"/>
      <c r="U753" s="13"/>
      <c r="V753" s="13"/>
      <c r="W753" s="11">
        <v>116840</v>
      </c>
      <c r="X753" s="11">
        <v>116840</v>
      </c>
      <c r="Y753" s="11">
        <v>116810</v>
      </c>
      <c r="Z753" s="11">
        <v>116820</v>
      </c>
      <c r="AA753" s="11">
        <v>111420</v>
      </c>
      <c r="AB753" s="11">
        <v>111560</v>
      </c>
      <c r="AC753" s="11">
        <v>111370</v>
      </c>
      <c r="AD753" s="11">
        <v>111530</v>
      </c>
      <c r="AE753" s="12">
        <v>110600</v>
      </c>
      <c r="AF753" s="12">
        <v>110660</v>
      </c>
      <c r="AG753" s="12">
        <v>110600</v>
      </c>
      <c r="AH753" s="12">
        <v>110650</v>
      </c>
    </row>
    <row r="754" spans="19:34" x14ac:dyDescent="0.25">
      <c r="S754" s="13"/>
      <c r="T754" s="13"/>
      <c r="U754" s="13"/>
      <c r="V754" s="13"/>
      <c r="W754" s="12">
        <v>116810</v>
      </c>
      <c r="X754" s="12">
        <v>116850</v>
      </c>
      <c r="Y754" s="12">
        <v>116810</v>
      </c>
      <c r="Z754" s="12">
        <v>116850</v>
      </c>
      <c r="AA754" s="12">
        <v>111540</v>
      </c>
      <c r="AB754" s="12">
        <v>111640</v>
      </c>
      <c r="AC754" s="12">
        <v>111530</v>
      </c>
      <c r="AD754" s="12">
        <v>111580</v>
      </c>
      <c r="AE754" s="11">
        <v>110650</v>
      </c>
      <c r="AF754" s="11">
        <v>110670</v>
      </c>
      <c r="AG754" s="11">
        <v>110630</v>
      </c>
      <c r="AH754" s="11">
        <v>110660</v>
      </c>
    </row>
    <row r="755" spans="19:34" x14ac:dyDescent="0.25">
      <c r="S755" s="13"/>
      <c r="T755" s="13"/>
      <c r="U755" s="13"/>
      <c r="V755" s="13"/>
      <c r="W755" s="11">
        <v>116840</v>
      </c>
      <c r="X755" s="11">
        <v>116860</v>
      </c>
      <c r="Y755" s="11">
        <v>116830</v>
      </c>
      <c r="Z755" s="11">
        <v>116840</v>
      </c>
      <c r="AA755" s="11">
        <v>111590</v>
      </c>
      <c r="AB755" s="11">
        <v>111700</v>
      </c>
      <c r="AC755" s="11">
        <v>111520</v>
      </c>
      <c r="AD755" s="11">
        <v>111630</v>
      </c>
      <c r="AE755" s="12">
        <v>110660</v>
      </c>
      <c r="AF755" s="12">
        <v>110680</v>
      </c>
      <c r="AG755" s="12">
        <v>110630</v>
      </c>
      <c r="AH755" s="12">
        <v>110640</v>
      </c>
    </row>
    <row r="756" spans="19:34" x14ac:dyDescent="0.25">
      <c r="S756" s="13"/>
      <c r="T756" s="13"/>
      <c r="U756" s="13"/>
      <c r="V756" s="13"/>
      <c r="W756" s="12">
        <v>116830</v>
      </c>
      <c r="X756" s="12">
        <v>116860</v>
      </c>
      <c r="Y756" s="12">
        <v>116820</v>
      </c>
      <c r="Z756" s="12">
        <v>116860</v>
      </c>
      <c r="AA756" s="12">
        <v>111620</v>
      </c>
      <c r="AB756" s="12">
        <v>111670</v>
      </c>
      <c r="AC756" s="12">
        <v>111590</v>
      </c>
      <c r="AD756" s="12">
        <v>111640</v>
      </c>
      <c r="AE756" s="11">
        <v>110640</v>
      </c>
      <c r="AF756" s="11">
        <v>110670</v>
      </c>
      <c r="AG756" s="11">
        <v>110620</v>
      </c>
      <c r="AH756" s="11">
        <v>110650</v>
      </c>
    </row>
    <row r="757" spans="19:34" x14ac:dyDescent="0.25">
      <c r="S757" s="13"/>
      <c r="T757" s="13"/>
      <c r="U757" s="13"/>
      <c r="V757" s="13"/>
      <c r="W757" s="11">
        <v>116860</v>
      </c>
      <c r="X757" s="11">
        <v>116910</v>
      </c>
      <c r="Y757" s="11">
        <v>116860</v>
      </c>
      <c r="Z757" s="11">
        <v>116890</v>
      </c>
      <c r="AA757" s="11">
        <v>111650</v>
      </c>
      <c r="AB757" s="11">
        <v>111650</v>
      </c>
      <c r="AC757" s="11">
        <v>111520</v>
      </c>
      <c r="AD757" s="11">
        <v>111540</v>
      </c>
      <c r="AE757" s="12">
        <v>110640</v>
      </c>
      <c r="AF757" s="12">
        <v>110730</v>
      </c>
      <c r="AG757" s="12">
        <v>110640</v>
      </c>
      <c r="AH757" s="12">
        <v>110680</v>
      </c>
    </row>
    <row r="758" spans="19:34" x14ac:dyDescent="0.25">
      <c r="S758" s="13"/>
      <c r="T758" s="13"/>
      <c r="U758" s="13"/>
      <c r="V758" s="13"/>
      <c r="W758" s="12">
        <v>116900</v>
      </c>
      <c r="X758" s="12">
        <v>116900</v>
      </c>
      <c r="Y758" s="12">
        <v>116870</v>
      </c>
      <c r="Z758" s="12">
        <v>116890</v>
      </c>
      <c r="AA758" s="12">
        <v>111530</v>
      </c>
      <c r="AB758" s="12">
        <v>111630</v>
      </c>
      <c r="AC758" s="12">
        <v>111530</v>
      </c>
      <c r="AD758" s="12">
        <v>111590</v>
      </c>
      <c r="AE758" s="11">
        <v>110680</v>
      </c>
      <c r="AF758" s="11">
        <v>110710</v>
      </c>
      <c r="AG758" s="11">
        <v>110670</v>
      </c>
      <c r="AH758" s="11">
        <v>110700</v>
      </c>
    </row>
    <row r="759" spans="19:34" x14ac:dyDescent="0.25">
      <c r="S759" s="13"/>
      <c r="T759" s="13"/>
      <c r="U759" s="13"/>
      <c r="V759" s="13"/>
      <c r="W759" s="11">
        <v>116900</v>
      </c>
      <c r="X759" s="11">
        <v>117000</v>
      </c>
      <c r="Y759" s="11">
        <v>116900</v>
      </c>
      <c r="Z759" s="11">
        <v>116950</v>
      </c>
      <c r="AA759" s="11">
        <v>111610</v>
      </c>
      <c r="AB759" s="11">
        <v>111640</v>
      </c>
      <c r="AC759" s="11">
        <v>111580</v>
      </c>
      <c r="AD759" s="11">
        <v>111630</v>
      </c>
      <c r="AE759" s="12">
        <v>110710</v>
      </c>
      <c r="AF759" s="12">
        <v>110750</v>
      </c>
      <c r="AG759" s="12">
        <v>110710</v>
      </c>
      <c r="AH759" s="12">
        <v>110710</v>
      </c>
    </row>
    <row r="760" spans="19:34" x14ac:dyDescent="0.25">
      <c r="S760" s="13"/>
      <c r="T760" s="13"/>
      <c r="U760" s="13"/>
      <c r="V760" s="13"/>
      <c r="W760" s="12">
        <v>116950</v>
      </c>
      <c r="X760" s="12">
        <v>116960</v>
      </c>
      <c r="Y760" s="12">
        <v>116880</v>
      </c>
      <c r="Z760" s="12">
        <v>116940</v>
      </c>
      <c r="AA760" s="12">
        <v>111630</v>
      </c>
      <c r="AB760" s="12">
        <v>111640</v>
      </c>
      <c r="AC760" s="12">
        <v>111580</v>
      </c>
      <c r="AD760" s="12">
        <v>111620</v>
      </c>
      <c r="AE760" s="11">
        <v>110720</v>
      </c>
      <c r="AF760" s="11">
        <v>110760</v>
      </c>
      <c r="AG760" s="11">
        <v>110720</v>
      </c>
      <c r="AH760" s="11">
        <v>110760</v>
      </c>
    </row>
    <row r="761" spans="19:34" x14ac:dyDescent="0.25">
      <c r="S761" s="13"/>
      <c r="T761" s="13"/>
      <c r="U761" s="13"/>
      <c r="V761" s="13"/>
      <c r="W761" s="11">
        <v>116930</v>
      </c>
      <c r="X761" s="11">
        <v>116940</v>
      </c>
      <c r="Y761" s="11">
        <v>116870</v>
      </c>
      <c r="Z761" s="11">
        <v>116870</v>
      </c>
      <c r="AA761" s="11">
        <v>111600</v>
      </c>
      <c r="AB761" s="11">
        <v>111640</v>
      </c>
      <c r="AC761" s="11">
        <v>111600</v>
      </c>
      <c r="AD761" s="11">
        <v>111640</v>
      </c>
      <c r="AE761" s="12">
        <v>110740</v>
      </c>
      <c r="AF761" s="12">
        <v>110750</v>
      </c>
      <c r="AG761" s="12">
        <v>110710</v>
      </c>
      <c r="AH761" s="12">
        <v>110730</v>
      </c>
    </row>
    <row r="762" spans="19:34" x14ac:dyDescent="0.25">
      <c r="S762" s="13"/>
      <c r="T762" s="13"/>
      <c r="U762" s="13"/>
      <c r="V762" s="13"/>
      <c r="W762" s="12">
        <v>116890</v>
      </c>
      <c r="X762" s="12">
        <v>116890</v>
      </c>
      <c r="Y762" s="12">
        <v>116780</v>
      </c>
      <c r="Z762" s="12">
        <v>116790</v>
      </c>
      <c r="AA762" s="12">
        <v>111640</v>
      </c>
      <c r="AB762" s="12">
        <v>111700</v>
      </c>
      <c r="AC762" s="12">
        <v>111620</v>
      </c>
      <c r="AD762" s="12">
        <v>111680</v>
      </c>
      <c r="AE762" s="11">
        <v>110730</v>
      </c>
      <c r="AF762" s="11">
        <v>110740</v>
      </c>
      <c r="AG762" s="11">
        <v>110710</v>
      </c>
      <c r="AH762" s="11">
        <v>110740</v>
      </c>
    </row>
    <row r="763" spans="19:34" x14ac:dyDescent="0.25">
      <c r="S763" s="13"/>
      <c r="T763" s="13"/>
      <c r="U763" s="13"/>
      <c r="V763" s="13"/>
      <c r="W763" s="11">
        <v>116790</v>
      </c>
      <c r="X763" s="11">
        <v>116830</v>
      </c>
      <c r="Y763" s="11">
        <v>116780</v>
      </c>
      <c r="Z763" s="11">
        <v>116790</v>
      </c>
      <c r="AA763" s="11">
        <v>111670</v>
      </c>
      <c r="AB763" s="11">
        <v>111740</v>
      </c>
      <c r="AC763" s="11">
        <v>111630</v>
      </c>
      <c r="AD763" s="11">
        <v>111630</v>
      </c>
      <c r="AE763" s="12">
        <v>110750</v>
      </c>
      <c r="AF763" s="12">
        <v>110760</v>
      </c>
      <c r="AG763" s="12">
        <v>110730</v>
      </c>
      <c r="AH763" s="12">
        <v>110760</v>
      </c>
    </row>
    <row r="764" spans="19:34" x14ac:dyDescent="0.25">
      <c r="S764" s="13"/>
      <c r="T764" s="13"/>
      <c r="U764" s="13"/>
      <c r="V764" s="13"/>
      <c r="W764" s="12">
        <v>116780</v>
      </c>
      <c r="X764" s="12">
        <v>116860</v>
      </c>
      <c r="Y764" s="12">
        <v>116780</v>
      </c>
      <c r="Z764" s="12">
        <v>116850</v>
      </c>
      <c r="AA764" s="12">
        <v>111630</v>
      </c>
      <c r="AB764" s="12">
        <v>111720</v>
      </c>
      <c r="AC764" s="12">
        <v>111600</v>
      </c>
      <c r="AD764" s="12">
        <v>111680</v>
      </c>
      <c r="AE764" s="11">
        <v>110750</v>
      </c>
      <c r="AF764" s="11">
        <v>110760</v>
      </c>
      <c r="AG764" s="11">
        <v>110710</v>
      </c>
      <c r="AH764" s="11">
        <v>110710</v>
      </c>
    </row>
    <row r="765" spans="19:34" x14ac:dyDescent="0.25">
      <c r="S765" s="13"/>
      <c r="T765" s="13"/>
      <c r="U765" s="13"/>
      <c r="V765" s="13"/>
      <c r="W765" s="11">
        <v>116840</v>
      </c>
      <c r="X765" s="11">
        <v>116850</v>
      </c>
      <c r="Y765" s="11">
        <v>116830</v>
      </c>
      <c r="Z765" s="11">
        <v>116840</v>
      </c>
      <c r="AA765" s="11">
        <v>111690</v>
      </c>
      <c r="AB765" s="11">
        <v>111730</v>
      </c>
      <c r="AC765" s="11">
        <v>111670</v>
      </c>
      <c r="AD765" s="11">
        <v>111720</v>
      </c>
      <c r="AE765" s="12">
        <v>110720</v>
      </c>
      <c r="AF765" s="12">
        <v>110730</v>
      </c>
      <c r="AG765" s="12">
        <v>110700</v>
      </c>
      <c r="AH765" s="12">
        <v>110710</v>
      </c>
    </row>
    <row r="766" spans="19:34" x14ac:dyDescent="0.25">
      <c r="S766" s="13"/>
      <c r="T766" s="13"/>
      <c r="U766" s="13"/>
      <c r="V766" s="13"/>
      <c r="W766" s="12">
        <v>116830</v>
      </c>
      <c r="X766" s="12">
        <v>116850</v>
      </c>
      <c r="Y766" s="12">
        <v>116830</v>
      </c>
      <c r="Z766" s="12">
        <v>116830</v>
      </c>
      <c r="AA766" s="12">
        <v>111710</v>
      </c>
      <c r="AB766" s="12">
        <v>111860</v>
      </c>
      <c r="AC766" s="12">
        <v>111700</v>
      </c>
      <c r="AD766" s="12">
        <v>111800</v>
      </c>
      <c r="AE766" s="11">
        <v>110690</v>
      </c>
      <c r="AF766" s="11">
        <v>110720</v>
      </c>
      <c r="AG766" s="11">
        <v>110690</v>
      </c>
      <c r="AH766" s="11">
        <v>110710</v>
      </c>
    </row>
    <row r="767" spans="19:34" x14ac:dyDescent="0.25">
      <c r="S767" s="13"/>
      <c r="T767" s="13"/>
      <c r="U767" s="13"/>
      <c r="V767" s="13"/>
      <c r="W767" s="11">
        <v>116830</v>
      </c>
      <c r="X767" s="11">
        <v>116840</v>
      </c>
      <c r="Y767" s="11">
        <v>116820</v>
      </c>
      <c r="Z767" s="11">
        <v>116840</v>
      </c>
      <c r="AA767" s="11">
        <v>111810</v>
      </c>
      <c r="AB767" s="11">
        <v>111830</v>
      </c>
      <c r="AC767" s="11">
        <v>111770</v>
      </c>
      <c r="AD767" s="11">
        <v>111790</v>
      </c>
      <c r="AE767" s="12">
        <v>110720</v>
      </c>
      <c r="AF767" s="12">
        <v>110770</v>
      </c>
      <c r="AG767" s="12">
        <v>110720</v>
      </c>
      <c r="AH767" s="12">
        <v>110750</v>
      </c>
    </row>
    <row r="768" spans="19:34" x14ac:dyDescent="0.25">
      <c r="S768" s="13"/>
      <c r="T768" s="13"/>
      <c r="U768" s="13"/>
      <c r="V768" s="13"/>
      <c r="W768" s="12">
        <v>116830</v>
      </c>
      <c r="X768" s="12">
        <v>116860</v>
      </c>
      <c r="Y768" s="12">
        <v>116830</v>
      </c>
      <c r="Z768" s="12">
        <v>116860</v>
      </c>
      <c r="AA768" s="12">
        <v>111790</v>
      </c>
      <c r="AB768" s="12">
        <v>111810</v>
      </c>
      <c r="AC768" s="12">
        <v>111750</v>
      </c>
      <c r="AD768" s="12">
        <v>111750</v>
      </c>
      <c r="AE768" s="11">
        <v>110760</v>
      </c>
      <c r="AF768" s="11">
        <v>110820</v>
      </c>
      <c r="AG768" s="11">
        <v>110750</v>
      </c>
      <c r="AH768" s="11">
        <v>110800</v>
      </c>
    </row>
    <row r="769" spans="19:34" x14ac:dyDescent="0.25">
      <c r="S769" s="13"/>
      <c r="T769" s="13"/>
      <c r="U769" s="13"/>
      <c r="V769" s="13"/>
      <c r="W769" s="11">
        <v>116860</v>
      </c>
      <c r="X769" s="11">
        <v>116860</v>
      </c>
      <c r="Y769" s="11">
        <v>116840</v>
      </c>
      <c r="Z769" s="11">
        <v>116840</v>
      </c>
      <c r="AA769" s="11">
        <v>111760</v>
      </c>
      <c r="AB769" s="11">
        <v>111760</v>
      </c>
      <c r="AC769" s="11">
        <v>111680</v>
      </c>
      <c r="AD769" s="11">
        <v>111690</v>
      </c>
      <c r="AE769" s="12">
        <v>110790</v>
      </c>
      <c r="AF769" s="12">
        <v>110800</v>
      </c>
      <c r="AG769" s="12">
        <v>110750</v>
      </c>
      <c r="AH769" s="12">
        <v>110750</v>
      </c>
    </row>
    <row r="770" spans="19:34" x14ac:dyDescent="0.25">
      <c r="S770" s="13"/>
      <c r="T770" s="13"/>
      <c r="U770" s="13"/>
      <c r="V770" s="13"/>
      <c r="W770" s="12">
        <v>116840</v>
      </c>
      <c r="X770" s="12">
        <v>116870</v>
      </c>
      <c r="Y770" s="12">
        <v>116840</v>
      </c>
      <c r="Z770" s="12">
        <v>116870</v>
      </c>
      <c r="AA770" s="12">
        <v>111700</v>
      </c>
      <c r="AB770" s="12">
        <v>111780</v>
      </c>
      <c r="AC770" s="12">
        <v>111700</v>
      </c>
      <c r="AD770" s="12">
        <v>111770</v>
      </c>
      <c r="AE770" s="11">
        <v>110760</v>
      </c>
      <c r="AF770" s="11">
        <v>110790</v>
      </c>
      <c r="AG770" s="11">
        <v>110760</v>
      </c>
      <c r="AH770" s="11">
        <v>110770</v>
      </c>
    </row>
    <row r="771" spans="19:34" x14ac:dyDescent="0.25">
      <c r="S771" s="13"/>
      <c r="T771" s="13"/>
      <c r="U771" s="13"/>
      <c r="V771" s="13"/>
      <c r="W771" s="11">
        <v>116860</v>
      </c>
      <c r="X771" s="11">
        <v>116880</v>
      </c>
      <c r="Y771" s="11">
        <v>116860</v>
      </c>
      <c r="Z771" s="11">
        <v>116880</v>
      </c>
      <c r="AA771" s="11">
        <v>111760</v>
      </c>
      <c r="AB771" s="11">
        <v>111820</v>
      </c>
      <c r="AC771" s="11">
        <v>111760</v>
      </c>
      <c r="AD771" s="11">
        <v>111820</v>
      </c>
      <c r="AE771" s="12">
        <v>110770</v>
      </c>
      <c r="AF771" s="12">
        <v>110770</v>
      </c>
      <c r="AG771" s="12">
        <v>110720</v>
      </c>
      <c r="AH771" s="12">
        <v>110730</v>
      </c>
    </row>
    <row r="772" spans="19:34" x14ac:dyDescent="0.25">
      <c r="S772" s="13"/>
      <c r="T772" s="13"/>
      <c r="U772" s="13"/>
      <c r="V772" s="13"/>
      <c r="W772" s="12">
        <v>116870</v>
      </c>
      <c r="X772" s="12">
        <v>116880</v>
      </c>
      <c r="Y772" s="12">
        <v>116860</v>
      </c>
      <c r="Z772" s="12">
        <v>116880</v>
      </c>
      <c r="AA772" s="12">
        <v>111820</v>
      </c>
      <c r="AB772" s="12">
        <v>111840</v>
      </c>
      <c r="AC772" s="12">
        <v>111740</v>
      </c>
      <c r="AD772" s="12">
        <v>111760</v>
      </c>
      <c r="AE772" s="11">
        <v>110730</v>
      </c>
      <c r="AF772" s="11">
        <v>110770</v>
      </c>
      <c r="AG772" s="11">
        <v>110720</v>
      </c>
      <c r="AH772" s="11">
        <v>110730</v>
      </c>
    </row>
    <row r="773" spans="19:34" x14ac:dyDescent="0.25">
      <c r="S773" s="13"/>
      <c r="T773" s="13"/>
      <c r="U773" s="13"/>
      <c r="V773" s="13"/>
      <c r="W773" s="11">
        <v>116880</v>
      </c>
      <c r="X773" s="11">
        <v>116890</v>
      </c>
      <c r="Y773" s="11">
        <v>116880</v>
      </c>
      <c r="Z773" s="11">
        <v>116890</v>
      </c>
      <c r="AA773" s="11">
        <v>111770</v>
      </c>
      <c r="AB773" s="11">
        <v>111800</v>
      </c>
      <c r="AC773" s="11">
        <v>111710</v>
      </c>
      <c r="AD773" s="11">
        <v>111710</v>
      </c>
      <c r="AE773" s="12">
        <v>110740</v>
      </c>
      <c r="AF773" s="12">
        <v>110740</v>
      </c>
      <c r="AG773" s="12">
        <v>110700</v>
      </c>
      <c r="AH773" s="12">
        <v>110720</v>
      </c>
    </row>
    <row r="774" spans="19:34" x14ac:dyDescent="0.25">
      <c r="S774" s="13"/>
      <c r="T774" s="13"/>
      <c r="U774" s="13"/>
      <c r="V774" s="13"/>
      <c r="W774" s="12">
        <v>116870</v>
      </c>
      <c r="X774" s="12">
        <v>116900</v>
      </c>
      <c r="Y774" s="12">
        <v>116870</v>
      </c>
      <c r="Z774" s="12">
        <v>116900</v>
      </c>
      <c r="AA774" s="12">
        <v>111740</v>
      </c>
      <c r="AB774" s="12">
        <v>111800</v>
      </c>
      <c r="AC774" s="12">
        <v>111720</v>
      </c>
      <c r="AD774" s="12">
        <v>111800</v>
      </c>
      <c r="AE774" s="11">
        <v>110710</v>
      </c>
      <c r="AF774" s="11">
        <v>110740</v>
      </c>
      <c r="AG774" s="11">
        <v>110710</v>
      </c>
      <c r="AH774" s="11">
        <v>110740</v>
      </c>
    </row>
    <row r="775" spans="19:34" x14ac:dyDescent="0.25">
      <c r="S775" s="13"/>
      <c r="T775" s="13"/>
      <c r="U775" s="13"/>
      <c r="V775" s="13"/>
      <c r="W775" s="11">
        <v>116900</v>
      </c>
      <c r="X775" s="11">
        <v>116900</v>
      </c>
      <c r="Y775" s="11">
        <v>116870</v>
      </c>
      <c r="Z775" s="11">
        <v>116870</v>
      </c>
      <c r="AA775" s="11">
        <v>111800</v>
      </c>
      <c r="AB775" s="11">
        <v>111850</v>
      </c>
      <c r="AC775" s="11">
        <v>111780</v>
      </c>
      <c r="AD775" s="11">
        <v>111830</v>
      </c>
      <c r="AE775" s="12">
        <v>110720</v>
      </c>
      <c r="AF775" s="12">
        <v>110730</v>
      </c>
      <c r="AG775" s="12">
        <v>110710</v>
      </c>
      <c r="AH775" s="12">
        <v>110720</v>
      </c>
    </row>
    <row r="776" spans="19:34" x14ac:dyDescent="0.25">
      <c r="S776" s="13"/>
      <c r="T776" s="13"/>
      <c r="U776" s="13"/>
      <c r="V776" s="13"/>
      <c r="W776" s="12">
        <v>116870</v>
      </c>
      <c r="X776" s="12">
        <v>116870</v>
      </c>
      <c r="Y776" s="12">
        <v>116840</v>
      </c>
      <c r="Z776" s="12">
        <v>116860</v>
      </c>
      <c r="AA776" s="12">
        <v>111840</v>
      </c>
      <c r="AB776" s="12">
        <v>111920</v>
      </c>
      <c r="AC776" s="12">
        <v>111820</v>
      </c>
      <c r="AD776" s="12">
        <v>111860</v>
      </c>
      <c r="AE776" s="11">
        <v>110710</v>
      </c>
      <c r="AF776" s="11">
        <v>110730</v>
      </c>
      <c r="AG776" s="11">
        <v>110680</v>
      </c>
      <c r="AH776" s="11">
        <v>110730</v>
      </c>
    </row>
    <row r="777" spans="19:34" x14ac:dyDescent="0.25">
      <c r="S777" s="13"/>
      <c r="T777" s="13"/>
      <c r="U777" s="13"/>
      <c r="V777" s="13"/>
      <c r="W777" s="11">
        <v>116860</v>
      </c>
      <c r="X777" s="11">
        <v>116910</v>
      </c>
      <c r="Y777" s="11">
        <v>116860</v>
      </c>
      <c r="Z777" s="11">
        <v>116910</v>
      </c>
      <c r="AA777" s="11">
        <v>111870</v>
      </c>
      <c r="AB777" s="11">
        <v>111870</v>
      </c>
      <c r="AC777" s="11">
        <v>111770</v>
      </c>
      <c r="AD777" s="11">
        <v>111780</v>
      </c>
      <c r="AE777" s="12">
        <v>110740</v>
      </c>
      <c r="AF777" s="12">
        <v>110740</v>
      </c>
      <c r="AG777" s="12">
        <v>110670</v>
      </c>
      <c r="AH777" s="12">
        <v>110690</v>
      </c>
    </row>
    <row r="778" spans="19:34" x14ac:dyDescent="0.25">
      <c r="S778" s="13"/>
      <c r="T778" s="13"/>
      <c r="U778" s="13"/>
      <c r="V778" s="13"/>
      <c r="W778" s="12">
        <v>116920</v>
      </c>
      <c r="X778" s="12">
        <v>116930</v>
      </c>
      <c r="Y778" s="12">
        <v>116910</v>
      </c>
      <c r="Z778" s="12">
        <v>116910</v>
      </c>
      <c r="AA778" s="12">
        <v>111780</v>
      </c>
      <c r="AB778" s="12">
        <v>111800</v>
      </c>
      <c r="AC778" s="12">
        <v>111730</v>
      </c>
      <c r="AD778" s="12">
        <v>111730</v>
      </c>
      <c r="AE778" s="11">
        <v>110690</v>
      </c>
      <c r="AF778" s="11">
        <v>110720</v>
      </c>
      <c r="AG778" s="11">
        <v>110690</v>
      </c>
      <c r="AH778" s="11">
        <v>110690</v>
      </c>
    </row>
    <row r="779" spans="19:34" x14ac:dyDescent="0.25">
      <c r="S779" s="13"/>
      <c r="T779" s="13"/>
      <c r="U779" s="13"/>
      <c r="V779" s="13"/>
      <c r="W779" s="11">
        <v>116910</v>
      </c>
      <c r="X779" s="11">
        <v>116910</v>
      </c>
      <c r="Y779" s="11">
        <v>116880</v>
      </c>
      <c r="Z779" s="11">
        <v>116900</v>
      </c>
      <c r="AA779" s="11">
        <v>111730</v>
      </c>
      <c r="AB779" s="11">
        <v>111790</v>
      </c>
      <c r="AC779" s="11">
        <v>111720</v>
      </c>
      <c r="AD779" s="11">
        <v>111770</v>
      </c>
      <c r="AE779" s="12">
        <v>110680</v>
      </c>
      <c r="AF779" s="12">
        <v>110730</v>
      </c>
      <c r="AG779" s="12">
        <v>110680</v>
      </c>
      <c r="AH779" s="12">
        <v>110720</v>
      </c>
    </row>
    <row r="780" spans="19:34" x14ac:dyDescent="0.25">
      <c r="S780" s="13"/>
      <c r="T780" s="13"/>
      <c r="U780" s="13"/>
      <c r="V780" s="13"/>
      <c r="W780" s="12">
        <v>116900</v>
      </c>
      <c r="X780" s="12">
        <v>116910</v>
      </c>
      <c r="Y780" s="12">
        <v>116900</v>
      </c>
      <c r="Z780" s="12">
        <v>116910</v>
      </c>
      <c r="AA780" s="12">
        <v>111760</v>
      </c>
      <c r="AB780" s="12">
        <v>111840</v>
      </c>
      <c r="AC780" s="12">
        <v>111760</v>
      </c>
      <c r="AD780" s="12">
        <v>111770</v>
      </c>
      <c r="AE780" s="11">
        <v>110720</v>
      </c>
      <c r="AF780" s="11">
        <v>110720</v>
      </c>
      <c r="AG780" s="11">
        <v>110700</v>
      </c>
      <c r="AH780" s="11">
        <v>110710</v>
      </c>
    </row>
    <row r="781" spans="19:34" x14ac:dyDescent="0.25">
      <c r="S781" s="13"/>
      <c r="T781" s="13"/>
      <c r="U781" s="13"/>
      <c r="V781" s="13"/>
      <c r="W781" s="11">
        <v>116910</v>
      </c>
      <c r="X781" s="11">
        <v>116920</v>
      </c>
      <c r="Y781" s="11">
        <v>116890</v>
      </c>
      <c r="Z781" s="11">
        <v>116910</v>
      </c>
      <c r="AA781" s="11">
        <v>111790</v>
      </c>
      <c r="AB781" s="11">
        <v>111860</v>
      </c>
      <c r="AC781" s="11">
        <v>111780</v>
      </c>
      <c r="AD781" s="11">
        <v>111830</v>
      </c>
      <c r="AE781" s="12">
        <v>110700</v>
      </c>
      <c r="AF781" s="12">
        <v>110700</v>
      </c>
      <c r="AG781" s="12">
        <v>110690</v>
      </c>
      <c r="AH781" s="12">
        <v>110690</v>
      </c>
    </row>
    <row r="782" spans="19:34" x14ac:dyDescent="0.25">
      <c r="S782" s="13"/>
      <c r="T782" s="13"/>
      <c r="U782" s="13"/>
      <c r="V782" s="13"/>
      <c r="W782" s="12">
        <v>116910</v>
      </c>
      <c r="X782" s="12">
        <v>116990</v>
      </c>
      <c r="Y782" s="12">
        <v>116900</v>
      </c>
      <c r="Z782" s="12">
        <v>116970</v>
      </c>
      <c r="AA782" s="12">
        <v>111840</v>
      </c>
      <c r="AB782" s="12">
        <v>111880</v>
      </c>
      <c r="AC782" s="12">
        <v>111820</v>
      </c>
      <c r="AD782" s="12">
        <v>111880</v>
      </c>
      <c r="AE782" s="11">
        <v>110680</v>
      </c>
      <c r="AF782" s="11">
        <v>110730</v>
      </c>
      <c r="AG782" s="11">
        <v>110670</v>
      </c>
      <c r="AH782" s="11">
        <v>110710</v>
      </c>
    </row>
    <row r="783" spans="19:34" x14ac:dyDescent="0.25">
      <c r="S783" s="13"/>
      <c r="T783" s="13"/>
      <c r="U783" s="13"/>
      <c r="V783" s="13"/>
      <c r="W783" s="11">
        <v>116960</v>
      </c>
      <c r="X783" s="11">
        <v>117180</v>
      </c>
      <c r="Y783" s="11">
        <v>116960</v>
      </c>
      <c r="Z783" s="11">
        <v>117150</v>
      </c>
      <c r="AA783" s="11">
        <v>111890</v>
      </c>
      <c r="AB783" s="11">
        <v>111890</v>
      </c>
      <c r="AC783" s="11">
        <v>111840</v>
      </c>
      <c r="AD783" s="11">
        <v>111850</v>
      </c>
      <c r="AE783" s="12">
        <v>110720</v>
      </c>
      <c r="AF783" s="12">
        <v>110740</v>
      </c>
      <c r="AG783" s="12">
        <v>110710</v>
      </c>
      <c r="AH783" s="12">
        <v>110710</v>
      </c>
    </row>
    <row r="784" spans="19:34" x14ac:dyDescent="0.25">
      <c r="S784" s="13"/>
      <c r="T784" s="13"/>
      <c r="U784" s="13"/>
      <c r="V784" s="13"/>
      <c r="W784" s="12">
        <v>117140</v>
      </c>
      <c r="X784" s="12">
        <v>117190</v>
      </c>
      <c r="Y784" s="12">
        <v>117090</v>
      </c>
      <c r="Z784" s="12">
        <v>117090</v>
      </c>
      <c r="AA784" s="12">
        <v>111850</v>
      </c>
      <c r="AB784" s="12">
        <v>111870</v>
      </c>
      <c r="AC784" s="12">
        <v>111830</v>
      </c>
      <c r="AD784" s="12">
        <v>111860</v>
      </c>
      <c r="AE784" s="11">
        <v>110700</v>
      </c>
      <c r="AF784" s="11">
        <v>110710</v>
      </c>
      <c r="AG784" s="11">
        <v>110690</v>
      </c>
      <c r="AH784" s="11">
        <v>110690</v>
      </c>
    </row>
    <row r="785" spans="19:34" x14ac:dyDescent="0.25">
      <c r="S785" s="13"/>
      <c r="T785" s="13"/>
      <c r="U785" s="13"/>
      <c r="V785" s="13"/>
      <c r="W785" s="11">
        <v>117100</v>
      </c>
      <c r="X785" s="11">
        <v>117180</v>
      </c>
      <c r="Y785" s="11">
        <v>117100</v>
      </c>
      <c r="Z785" s="11">
        <v>117170</v>
      </c>
      <c r="AA785" s="11">
        <v>111860</v>
      </c>
      <c r="AB785" s="11">
        <v>111890</v>
      </c>
      <c r="AC785" s="11">
        <v>111780</v>
      </c>
      <c r="AD785" s="11">
        <v>111780</v>
      </c>
      <c r="AE785" s="12">
        <v>110680</v>
      </c>
      <c r="AF785" s="12">
        <v>110710</v>
      </c>
      <c r="AG785" s="12">
        <v>110680</v>
      </c>
      <c r="AH785" s="12">
        <v>110700</v>
      </c>
    </row>
    <row r="786" spans="19:34" x14ac:dyDescent="0.25">
      <c r="S786" s="13"/>
      <c r="T786" s="13"/>
      <c r="U786" s="13"/>
      <c r="V786" s="13"/>
      <c r="W786" s="12">
        <v>117180</v>
      </c>
      <c r="X786" s="12">
        <v>117290</v>
      </c>
      <c r="Y786" s="12">
        <v>117170</v>
      </c>
      <c r="Z786" s="12">
        <v>117250</v>
      </c>
      <c r="AA786" s="12">
        <v>111780</v>
      </c>
      <c r="AB786" s="12">
        <v>111830</v>
      </c>
      <c r="AC786" s="12">
        <v>111760</v>
      </c>
      <c r="AD786" s="12">
        <v>111800</v>
      </c>
      <c r="AE786" s="11">
        <v>110700</v>
      </c>
      <c r="AF786" s="11">
        <v>110730</v>
      </c>
      <c r="AG786" s="11">
        <v>110680</v>
      </c>
      <c r="AH786" s="11">
        <v>110710</v>
      </c>
    </row>
    <row r="787" spans="19:34" x14ac:dyDescent="0.25">
      <c r="S787" s="13"/>
      <c r="T787" s="13"/>
      <c r="U787" s="13"/>
      <c r="V787" s="13"/>
      <c r="W787" s="11">
        <v>117250</v>
      </c>
      <c r="X787" s="11">
        <v>117290</v>
      </c>
      <c r="Y787" s="11">
        <v>117240</v>
      </c>
      <c r="Z787" s="11">
        <v>117250</v>
      </c>
      <c r="AA787" s="11">
        <v>111800</v>
      </c>
      <c r="AB787" s="11">
        <v>111820</v>
      </c>
      <c r="AC787" s="11">
        <v>111780</v>
      </c>
      <c r="AD787" s="11">
        <v>111800</v>
      </c>
      <c r="AE787" s="12">
        <v>110720</v>
      </c>
      <c r="AF787" s="12">
        <v>110830</v>
      </c>
      <c r="AG787" s="12">
        <v>110720</v>
      </c>
      <c r="AH787" s="12">
        <v>110790</v>
      </c>
    </row>
    <row r="788" spans="19:34" x14ac:dyDescent="0.25">
      <c r="S788" s="13"/>
      <c r="T788" s="13"/>
      <c r="U788" s="13"/>
      <c r="V788" s="13"/>
      <c r="W788" s="12">
        <v>117250</v>
      </c>
      <c r="X788" s="12">
        <v>117340</v>
      </c>
      <c r="Y788" s="12">
        <v>117250</v>
      </c>
      <c r="Z788" s="12">
        <v>117320</v>
      </c>
      <c r="AA788" s="12">
        <v>111820</v>
      </c>
      <c r="AB788" s="12">
        <v>111820</v>
      </c>
      <c r="AC788" s="12">
        <v>111790</v>
      </c>
      <c r="AD788" s="12">
        <v>111810</v>
      </c>
      <c r="AE788" s="11">
        <v>110780</v>
      </c>
      <c r="AF788" s="11">
        <v>110800</v>
      </c>
      <c r="AG788" s="11">
        <v>110750</v>
      </c>
      <c r="AH788" s="11">
        <v>110750</v>
      </c>
    </row>
    <row r="789" spans="19:34" x14ac:dyDescent="0.25">
      <c r="S789" s="13"/>
      <c r="T789" s="13"/>
      <c r="U789" s="13"/>
      <c r="V789" s="13"/>
      <c r="W789" s="11">
        <v>117310</v>
      </c>
      <c r="X789" s="11">
        <v>117380</v>
      </c>
      <c r="Y789" s="11">
        <v>117290</v>
      </c>
      <c r="Z789" s="11">
        <v>117370</v>
      </c>
      <c r="AA789" s="11">
        <v>111800</v>
      </c>
      <c r="AB789" s="11">
        <v>111800</v>
      </c>
      <c r="AC789" s="11">
        <v>111730</v>
      </c>
      <c r="AD789" s="11">
        <v>111750</v>
      </c>
      <c r="AE789" s="12">
        <v>110760</v>
      </c>
      <c r="AF789" s="12">
        <v>110820</v>
      </c>
      <c r="AG789" s="12">
        <v>110760</v>
      </c>
      <c r="AH789" s="12">
        <v>110770</v>
      </c>
    </row>
    <row r="790" spans="19:34" x14ac:dyDescent="0.25">
      <c r="S790" s="13"/>
      <c r="T790" s="13"/>
      <c r="U790" s="13"/>
      <c r="V790" s="13"/>
      <c r="W790" s="12">
        <v>117380</v>
      </c>
      <c r="X790" s="12">
        <v>117380</v>
      </c>
      <c r="Y790" s="12">
        <v>117250</v>
      </c>
      <c r="Z790" s="12">
        <v>117260</v>
      </c>
      <c r="AA790" s="12">
        <v>111740</v>
      </c>
      <c r="AB790" s="12">
        <v>111810</v>
      </c>
      <c r="AC790" s="12">
        <v>111730</v>
      </c>
      <c r="AD790" s="12">
        <v>111800</v>
      </c>
      <c r="AE790" s="11">
        <v>110770</v>
      </c>
      <c r="AF790" s="11">
        <v>110780</v>
      </c>
      <c r="AG790" s="11">
        <v>110740</v>
      </c>
      <c r="AH790" s="11">
        <v>110760</v>
      </c>
    </row>
    <row r="791" spans="19:34" x14ac:dyDescent="0.25">
      <c r="S791" s="13"/>
      <c r="T791" s="13"/>
      <c r="U791" s="13"/>
      <c r="V791" s="13"/>
      <c r="W791" s="11">
        <v>117260</v>
      </c>
      <c r="X791" s="11">
        <v>117280</v>
      </c>
      <c r="Y791" s="11">
        <v>117210</v>
      </c>
      <c r="Z791" s="11">
        <v>117250</v>
      </c>
      <c r="AA791" s="11">
        <v>111790</v>
      </c>
      <c r="AB791" s="11">
        <v>111790</v>
      </c>
      <c r="AC791" s="11">
        <v>111720</v>
      </c>
      <c r="AD791" s="11">
        <v>111740</v>
      </c>
      <c r="AE791" s="12">
        <v>110750</v>
      </c>
      <c r="AF791" s="12">
        <v>110760</v>
      </c>
      <c r="AG791" s="12">
        <v>110730</v>
      </c>
      <c r="AH791" s="12">
        <v>110730</v>
      </c>
    </row>
    <row r="792" spans="19:34" x14ac:dyDescent="0.25">
      <c r="S792" s="13"/>
      <c r="T792" s="13"/>
      <c r="U792" s="13"/>
      <c r="V792" s="13"/>
      <c r="W792" s="12">
        <v>117260</v>
      </c>
      <c r="X792" s="12">
        <v>117300</v>
      </c>
      <c r="Y792" s="12">
        <v>117200</v>
      </c>
      <c r="Z792" s="12">
        <v>117270</v>
      </c>
      <c r="AA792" s="12">
        <v>111730</v>
      </c>
      <c r="AB792" s="12">
        <v>111760</v>
      </c>
      <c r="AC792" s="12">
        <v>111720</v>
      </c>
      <c r="AD792" s="12">
        <v>111730</v>
      </c>
      <c r="AE792" s="11">
        <v>110730</v>
      </c>
      <c r="AF792" s="11">
        <v>110790</v>
      </c>
      <c r="AG792" s="11">
        <v>110730</v>
      </c>
      <c r="AH792" s="11">
        <v>110770</v>
      </c>
    </row>
    <row r="793" spans="19:34" x14ac:dyDescent="0.25">
      <c r="S793" s="13"/>
      <c r="T793" s="13"/>
      <c r="U793" s="13"/>
      <c r="V793" s="13"/>
      <c r="W793" s="11">
        <v>117270</v>
      </c>
      <c r="X793" s="11">
        <v>117280</v>
      </c>
      <c r="Y793" s="11">
        <v>117260</v>
      </c>
      <c r="Z793" s="11">
        <v>117270</v>
      </c>
      <c r="AA793" s="11">
        <v>111720</v>
      </c>
      <c r="AB793" s="11">
        <v>111760</v>
      </c>
      <c r="AC793" s="11">
        <v>111720</v>
      </c>
      <c r="AD793" s="11">
        <v>111760</v>
      </c>
      <c r="AE793" s="12">
        <v>110770</v>
      </c>
      <c r="AF793" s="12">
        <v>110790</v>
      </c>
      <c r="AG793" s="12">
        <v>110740</v>
      </c>
      <c r="AH793" s="12">
        <v>110750</v>
      </c>
    </row>
    <row r="794" spans="19:34" x14ac:dyDescent="0.25">
      <c r="S794" s="13"/>
      <c r="T794" s="13"/>
      <c r="U794" s="13"/>
      <c r="V794" s="13"/>
      <c r="W794" s="12">
        <v>117260</v>
      </c>
      <c r="X794" s="12">
        <v>117290</v>
      </c>
      <c r="Y794" s="12">
        <v>117260</v>
      </c>
      <c r="Z794" s="12">
        <v>117270</v>
      </c>
      <c r="AA794" s="12">
        <v>111770</v>
      </c>
      <c r="AB794" s="12">
        <v>111790</v>
      </c>
      <c r="AC794" s="12">
        <v>111740</v>
      </c>
      <c r="AD794" s="12">
        <v>111750</v>
      </c>
      <c r="AE794" s="11">
        <v>110760</v>
      </c>
      <c r="AF794" s="11">
        <v>110770</v>
      </c>
      <c r="AG794" s="11">
        <v>110760</v>
      </c>
      <c r="AH794" s="11">
        <v>110760</v>
      </c>
    </row>
    <row r="795" spans="19:34" x14ac:dyDescent="0.25">
      <c r="S795" s="13"/>
      <c r="T795" s="13"/>
      <c r="U795" s="13"/>
      <c r="V795" s="13"/>
      <c r="W795" s="11">
        <v>117270</v>
      </c>
      <c r="X795" s="11">
        <v>117310</v>
      </c>
      <c r="Y795" s="11">
        <v>117270</v>
      </c>
      <c r="Z795" s="11">
        <v>117310</v>
      </c>
      <c r="AA795" s="11">
        <v>111760</v>
      </c>
      <c r="AB795" s="11">
        <v>111790</v>
      </c>
      <c r="AC795" s="11">
        <v>111750</v>
      </c>
      <c r="AD795" s="11">
        <v>111770</v>
      </c>
      <c r="AE795" s="12">
        <v>110770</v>
      </c>
      <c r="AF795" s="12">
        <v>110810</v>
      </c>
      <c r="AG795" s="12">
        <v>110770</v>
      </c>
      <c r="AH795" s="12">
        <v>110810</v>
      </c>
    </row>
    <row r="796" spans="19:34" x14ac:dyDescent="0.25">
      <c r="S796" s="13"/>
      <c r="T796" s="13"/>
      <c r="U796" s="13"/>
      <c r="V796" s="13"/>
      <c r="W796" s="12">
        <v>117320</v>
      </c>
      <c r="X796" s="12">
        <v>117500</v>
      </c>
      <c r="Y796" s="12">
        <v>117310</v>
      </c>
      <c r="Z796" s="12">
        <v>117410</v>
      </c>
      <c r="AA796" s="12">
        <v>111760</v>
      </c>
      <c r="AB796" s="12">
        <v>111810</v>
      </c>
      <c r="AC796" s="12">
        <v>111760</v>
      </c>
      <c r="AD796" s="12">
        <v>111780</v>
      </c>
      <c r="AE796" s="11">
        <v>110790</v>
      </c>
      <c r="AF796" s="11">
        <v>110870</v>
      </c>
      <c r="AG796" s="11">
        <v>110790</v>
      </c>
      <c r="AH796" s="11">
        <v>110870</v>
      </c>
    </row>
    <row r="797" spans="19:34" x14ac:dyDescent="0.25">
      <c r="S797" s="13"/>
      <c r="T797" s="13"/>
      <c r="U797" s="13"/>
      <c r="V797" s="13"/>
      <c r="W797" s="11">
        <v>117390</v>
      </c>
      <c r="X797" s="11">
        <v>117410</v>
      </c>
      <c r="Y797" s="11">
        <v>117360</v>
      </c>
      <c r="Z797" s="11">
        <v>117370</v>
      </c>
      <c r="AA797" s="11">
        <v>111790</v>
      </c>
      <c r="AB797" s="11">
        <v>111800</v>
      </c>
      <c r="AC797" s="11">
        <v>111750</v>
      </c>
      <c r="AD797" s="11">
        <v>111760</v>
      </c>
      <c r="AE797" s="12">
        <v>110860</v>
      </c>
      <c r="AF797" s="12">
        <v>110880</v>
      </c>
      <c r="AG797" s="12">
        <v>110830</v>
      </c>
      <c r="AH797" s="12">
        <v>110850</v>
      </c>
    </row>
    <row r="798" spans="19:34" x14ac:dyDescent="0.25">
      <c r="S798" s="13"/>
      <c r="T798" s="13"/>
      <c r="U798" s="13"/>
      <c r="V798" s="13"/>
      <c r="W798" s="12">
        <v>117370</v>
      </c>
      <c r="X798" s="12">
        <v>117390</v>
      </c>
      <c r="Y798" s="12">
        <v>117360</v>
      </c>
      <c r="Z798" s="12">
        <v>117370</v>
      </c>
      <c r="AA798" s="12">
        <v>111740</v>
      </c>
      <c r="AB798" s="12">
        <v>111780</v>
      </c>
      <c r="AC798" s="12">
        <v>111740</v>
      </c>
      <c r="AD798" s="12">
        <v>111770</v>
      </c>
      <c r="AE798" s="11">
        <v>110860</v>
      </c>
      <c r="AF798" s="11">
        <v>110860</v>
      </c>
      <c r="AG798" s="11">
        <v>110830</v>
      </c>
      <c r="AH798" s="11">
        <v>110830</v>
      </c>
    </row>
    <row r="799" spans="19:34" x14ac:dyDescent="0.25">
      <c r="S799" s="13"/>
      <c r="T799" s="13"/>
      <c r="U799" s="13"/>
      <c r="V799" s="13"/>
      <c r="W799" s="11">
        <v>117370</v>
      </c>
      <c r="X799" s="11">
        <v>117390</v>
      </c>
      <c r="Y799" s="11">
        <v>117310</v>
      </c>
      <c r="Z799" s="11">
        <v>117340</v>
      </c>
      <c r="AA799" s="11">
        <v>111770</v>
      </c>
      <c r="AB799" s="11">
        <v>111800</v>
      </c>
      <c r="AC799" s="11">
        <v>111770</v>
      </c>
      <c r="AD799" s="11">
        <v>111800</v>
      </c>
      <c r="AE799" s="12">
        <v>110850</v>
      </c>
      <c r="AF799" s="12">
        <v>110860</v>
      </c>
      <c r="AG799" s="12">
        <v>110810</v>
      </c>
      <c r="AH799" s="12">
        <v>110830</v>
      </c>
    </row>
    <row r="800" spans="19:34" x14ac:dyDescent="0.25">
      <c r="S800" s="13"/>
      <c r="T800" s="13"/>
      <c r="U800" s="13"/>
      <c r="V800" s="13"/>
      <c r="W800" s="12">
        <v>117320</v>
      </c>
      <c r="X800" s="12">
        <v>117340</v>
      </c>
      <c r="Y800" s="12">
        <v>117310</v>
      </c>
      <c r="Z800" s="12">
        <v>117340</v>
      </c>
      <c r="AA800" s="12">
        <v>111790</v>
      </c>
      <c r="AB800" s="12">
        <v>111800</v>
      </c>
      <c r="AC800" s="12">
        <v>111780</v>
      </c>
      <c r="AD800" s="12">
        <v>111790</v>
      </c>
      <c r="AE800" s="11">
        <v>110810</v>
      </c>
      <c r="AF800" s="11">
        <v>110830</v>
      </c>
      <c r="AG800" s="11">
        <v>110780</v>
      </c>
      <c r="AH800" s="11">
        <v>110780</v>
      </c>
    </row>
    <row r="801" spans="19:34" x14ac:dyDescent="0.25">
      <c r="S801" s="13"/>
      <c r="T801" s="13"/>
      <c r="U801" s="13"/>
      <c r="V801" s="13"/>
      <c r="W801" s="11">
        <v>117330</v>
      </c>
      <c r="X801" s="11">
        <v>117340</v>
      </c>
      <c r="Y801" s="11">
        <v>117310</v>
      </c>
      <c r="Z801" s="11">
        <v>117320</v>
      </c>
      <c r="AA801" s="11">
        <v>111790</v>
      </c>
      <c r="AB801" s="11">
        <v>111810</v>
      </c>
      <c r="AC801" s="11">
        <v>111790</v>
      </c>
      <c r="AD801" s="11">
        <v>111800</v>
      </c>
      <c r="AE801" s="12">
        <v>110780</v>
      </c>
      <c r="AF801" s="12">
        <v>110780</v>
      </c>
      <c r="AG801" s="12">
        <v>110730</v>
      </c>
      <c r="AH801" s="12">
        <v>110730</v>
      </c>
    </row>
    <row r="802" spans="19:34" x14ac:dyDescent="0.25">
      <c r="S802" s="13"/>
      <c r="T802" s="13"/>
      <c r="U802" s="13"/>
      <c r="V802" s="13"/>
      <c r="W802" s="12">
        <v>117310</v>
      </c>
      <c r="X802" s="12">
        <v>117320</v>
      </c>
      <c r="Y802" s="12">
        <v>117280</v>
      </c>
      <c r="Z802" s="12">
        <v>117280</v>
      </c>
      <c r="AA802" s="12">
        <v>111790</v>
      </c>
      <c r="AB802" s="12">
        <v>111840</v>
      </c>
      <c r="AC802" s="12">
        <v>111790</v>
      </c>
      <c r="AD802" s="12">
        <v>111820</v>
      </c>
      <c r="AE802" s="11">
        <v>110740</v>
      </c>
      <c r="AF802" s="11">
        <v>110750</v>
      </c>
      <c r="AG802" s="11">
        <v>110710</v>
      </c>
      <c r="AH802" s="11">
        <v>110720</v>
      </c>
    </row>
    <row r="803" spans="19:34" x14ac:dyDescent="0.25">
      <c r="S803" s="13"/>
      <c r="T803" s="13"/>
      <c r="U803" s="13"/>
      <c r="V803" s="13"/>
      <c r="W803" s="11">
        <v>117280</v>
      </c>
      <c r="X803" s="11">
        <v>117310</v>
      </c>
      <c r="Y803" s="11">
        <v>117270</v>
      </c>
      <c r="Z803" s="11">
        <v>117280</v>
      </c>
      <c r="AA803" s="11">
        <v>111830</v>
      </c>
      <c r="AB803" s="11">
        <v>111850</v>
      </c>
      <c r="AC803" s="11">
        <v>111820</v>
      </c>
      <c r="AD803" s="11">
        <v>111850</v>
      </c>
      <c r="AE803" s="12">
        <v>110710</v>
      </c>
      <c r="AF803" s="12">
        <v>110710</v>
      </c>
      <c r="AG803" s="12">
        <v>110660</v>
      </c>
      <c r="AH803" s="12">
        <v>110690</v>
      </c>
    </row>
    <row r="804" spans="19:34" x14ac:dyDescent="0.25">
      <c r="S804" s="13"/>
      <c r="T804" s="13"/>
      <c r="U804" s="13"/>
      <c r="V804" s="13"/>
      <c r="W804" s="12">
        <v>117280</v>
      </c>
      <c r="X804" s="12">
        <v>117350</v>
      </c>
      <c r="Y804" s="12">
        <v>117260</v>
      </c>
      <c r="Z804" s="12">
        <v>117320</v>
      </c>
      <c r="AA804" s="12">
        <v>111840</v>
      </c>
      <c r="AB804" s="12">
        <v>111850</v>
      </c>
      <c r="AC804" s="12">
        <v>111780</v>
      </c>
      <c r="AD804" s="12">
        <v>111790</v>
      </c>
      <c r="AE804" s="11">
        <v>110680</v>
      </c>
      <c r="AF804" s="11">
        <v>110700</v>
      </c>
      <c r="AG804" s="11">
        <v>110650</v>
      </c>
      <c r="AH804" s="11">
        <v>110680</v>
      </c>
    </row>
    <row r="805" spans="19:34" x14ac:dyDescent="0.25">
      <c r="S805" s="13"/>
      <c r="T805" s="13"/>
      <c r="U805" s="13"/>
      <c r="V805" s="13"/>
      <c r="W805" s="11">
        <v>117320</v>
      </c>
      <c r="X805" s="11">
        <v>117340</v>
      </c>
      <c r="Y805" s="11">
        <v>117290</v>
      </c>
      <c r="Z805" s="11">
        <v>117300</v>
      </c>
      <c r="AA805" s="11">
        <v>111790</v>
      </c>
      <c r="AB805" s="11">
        <v>111810</v>
      </c>
      <c r="AC805" s="11">
        <v>111750</v>
      </c>
      <c r="AD805" s="11">
        <v>111750</v>
      </c>
      <c r="AE805" s="12">
        <v>110670</v>
      </c>
      <c r="AF805" s="12">
        <v>110710</v>
      </c>
      <c r="AG805" s="12">
        <v>110650</v>
      </c>
      <c r="AH805" s="12">
        <v>110700</v>
      </c>
    </row>
    <row r="806" spans="19:34" x14ac:dyDescent="0.25">
      <c r="S806" s="13"/>
      <c r="T806" s="13"/>
      <c r="U806" s="13"/>
      <c r="V806" s="13"/>
      <c r="W806" s="12">
        <v>117300</v>
      </c>
      <c r="X806" s="12">
        <v>117300</v>
      </c>
      <c r="Y806" s="12">
        <v>117270</v>
      </c>
      <c r="Z806" s="12">
        <v>117290</v>
      </c>
      <c r="AA806" s="12">
        <v>111760</v>
      </c>
      <c r="AB806" s="12">
        <v>111860</v>
      </c>
      <c r="AC806" s="12">
        <v>111740</v>
      </c>
      <c r="AD806" s="12">
        <v>111820</v>
      </c>
      <c r="AE806" s="11">
        <v>110680</v>
      </c>
      <c r="AF806" s="11">
        <v>110720</v>
      </c>
      <c r="AG806" s="11">
        <v>110610</v>
      </c>
      <c r="AH806" s="11">
        <v>110630</v>
      </c>
    </row>
    <row r="807" spans="19:34" x14ac:dyDescent="0.25">
      <c r="S807" s="13"/>
      <c r="T807" s="13"/>
      <c r="U807" s="13"/>
      <c r="V807" s="13"/>
      <c r="W807" s="11">
        <v>117290</v>
      </c>
      <c r="X807" s="11">
        <v>117300</v>
      </c>
      <c r="Y807" s="11">
        <v>117260</v>
      </c>
      <c r="Z807" s="11">
        <v>117300</v>
      </c>
      <c r="AA807" s="13"/>
      <c r="AB807" s="13"/>
      <c r="AC807" s="13"/>
      <c r="AD807" s="13"/>
      <c r="AE807" s="13"/>
      <c r="AF807" s="13"/>
      <c r="AG807" s="13"/>
      <c r="AH807" s="13"/>
    </row>
    <row r="808" spans="19:34" x14ac:dyDescent="0.25">
      <c r="S808" s="13"/>
      <c r="T808" s="13"/>
      <c r="U808" s="13"/>
      <c r="V808" s="13"/>
      <c r="W808" s="12">
        <v>117300</v>
      </c>
      <c r="X808" s="12">
        <v>117330</v>
      </c>
      <c r="Y808" s="12">
        <v>117300</v>
      </c>
      <c r="Z808" s="12">
        <v>117330</v>
      </c>
      <c r="AA808" s="13"/>
      <c r="AB808" s="13"/>
      <c r="AC808" s="13"/>
      <c r="AD808" s="13"/>
      <c r="AE808" s="13"/>
      <c r="AF808" s="13"/>
      <c r="AG808" s="13"/>
      <c r="AH808" s="13"/>
    </row>
    <row r="809" spans="19:34" x14ac:dyDescent="0.25">
      <c r="S809" s="13"/>
      <c r="T809" s="13"/>
      <c r="U809" s="13"/>
      <c r="V809" s="13"/>
      <c r="W809" s="11">
        <v>117320</v>
      </c>
      <c r="X809" s="11">
        <v>117420</v>
      </c>
      <c r="Y809" s="11">
        <v>117320</v>
      </c>
      <c r="Z809" s="11">
        <v>117340</v>
      </c>
      <c r="AA809" s="13"/>
      <c r="AB809" s="13"/>
      <c r="AC809" s="13"/>
      <c r="AD809" s="13"/>
      <c r="AE809" s="13"/>
      <c r="AF809" s="13"/>
      <c r="AG809" s="13"/>
      <c r="AH809" s="13"/>
    </row>
    <row r="810" spans="19:34" x14ac:dyDescent="0.25">
      <c r="S810" s="13"/>
      <c r="T810" s="13"/>
      <c r="U810" s="13"/>
      <c r="V810" s="13"/>
      <c r="W810" s="12">
        <v>117360</v>
      </c>
      <c r="X810" s="12">
        <v>117400</v>
      </c>
      <c r="Y810" s="12">
        <v>117320</v>
      </c>
      <c r="Z810" s="12">
        <v>117380</v>
      </c>
      <c r="AA810" s="13"/>
      <c r="AB810" s="13"/>
      <c r="AC810" s="13"/>
      <c r="AD810" s="13"/>
      <c r="AE810" s="13"/>
      <c r="AF810" s="13"/>
      <c r="AG810" s="13"/>
      <c r="AH810" s="13"/>
    </row>
    <row r="811" spans="19:34" x14ac:dyDescent="0.25">
      <c r="S811" s="13"/>
      <c r="T811" s="13"/>
      <c r="U811" s="13"/>
      <c r="V811" s="13"/>
      <c r="W811" s="11">
        <v>117370</v>
      </c>
      <c r="X811" s="11">
        <v>117450</v>
      </c>
      <c r="Y811" s="11">
        <v>117290</v>
      </c>
      <c r="Z811" s="11">
        <v>117320</v>
      </c>
      <c r="AA811" s="13"/>
      <c r="AB811" s="13"/>
      <c r="AC811" s="13"/>
      <c r="AD811" s="13"/>
      <c r="AE811" s="13"/>
      <c r="AF811" s="13"/>
      <c r="AG811" s="13"/>
      <c r="AH811" s="13"/>
    </row>
    <row r="812" spans="19:34" x14ac:dyDescent="0.25"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</row>
    <row r="813" spans="19:34" x14ac:dyDescent="0.25"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</row>
    <row r="814" spans="19:34" x14ac:dyDescent="0.25"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</row>
    <row r="815" spans="19:34" x14ac:dyDescent="0.25"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</row>
    <row r="816" spans="19:34" x14ac:dyDescent="0.25"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</row>
    <row r="817" spans="19:34" x14ac:dyDescent="0.25"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</row>
    <row r="818" spans="19:34" x14ac:dyDescent="0.25"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</row>
    <row r="819" spans="19:34" x14ac:dyDescent="0.25"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</row>
    <row r="820" spans="19:34" x14ac:dyDescent="0.25"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</row>
    <row r="821" spans="19:34" x14ac:dyDescent="0.25"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</row>
    <row r="822" spans="19:34" x14ac:dyDescent="0.25"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</row>
    <row r="823" spans="19:34" x14ac:dyDescent="0.25"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</row>
    <row r="824" spans="19:34" x14ac:dyDescent="0.25"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</row>
    <row r="825" spans="19:34" x14ac:dyDescent="0.25"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</row>
    <row r="826" spans="19:34" x14ac:dyDescent="0.25"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</row>
    <row r="827" spans="19:34" x14ac:dyDescent="0.25"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</row>
    <row r="828" spans="19:34" x14ac:dyDescent="0.25"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</row>
    <row r="829" spans="19:34" x14ac:dyDescent="0.25"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</row>
    <row r="830" spans="19:34" x14ac:dyDescent="0.25"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</row>
    <row r="831" spans="19:34" x14ac:dyDescent="0.25"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</row>
    <row r="832" spans="19:34" x14ac:dyDescent="0.25"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</row>
    <row r="833" spans="19:34" x14ac:dyDescent="0.25"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</row>
    <row r="834" spans="19:34" x14ac:dyDescent="0.25"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</row>
    <row r="835" spans="19:34" x14ac:dyDescent="0.25"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</row>
    <row r="836" spans="19:34" x14ac:dyDescent="0.25"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</row>
    <row r="837" spans="19:34" x14ac:dyDescent="0.25"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</row>
    <row r="838" spans="19:34" x14ac:dyDescent="0.25"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</row>
    <row r="839" spans="19:34" x14ac:dyDescent="0.25"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</row>
    <row r="840" spans="19:34" x14ac:dyDescent="0.25"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</row>
    <row r="841" spans="19:34" x14ac:dyDescent="0.25"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</row>
    <row r="842" spans="19:34" x14ac:dyDescent="0.25"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</row>
    <row r="843" spans="19:34" x14ac:dyDescent="0.25"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</row>
    <row r="844" spans="19:34" x14ac:dyDescent="0.25"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</row>
    <row r="845" spans="19:34" x14ac:dyDescent="0.25"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</row>
    <row r="846" spans="19:34" x14ac:dyDescent="0.25"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</row>
    <row r="847" spans="19:34" x14ac:dyDescent="0.25"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</row>
    <row r="848" spans="19:34" x14ac:dyDescent="0.25"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</row>
    <row r="849" spans="19:34" x14ac:dyDescent="0.25"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</row>
    <row r="850" spans="19:34" x14ac:dyDescent="0.25"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</row>
    <row r="851" spans="19:34" x14ac:dyDescent="0.25"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</row>
    <row r="852" spans="19:34" x14ac:dyDescent="0.25"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</row>
    <row r="853" spans="19:34" x14ac:dyDescent="0.25"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</row>
    <row r="854" spans="19:34" x14ac:dyDescent="0.25"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</row>
    <row r="855" spans="19:34" x14ac:dyDescent="0.25"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</row>
    <row r="856" spans="19:34" x14ac:dyDescent="0.25"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</row>
    <row r="857" spans="19:34" x14ac:dyDescent="0.25"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</row>
    <row r="858" spans="19:34" x14ac:dyDescent="0.25"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</row>
    <row r="859" spans="19:34" x14ac:dyDescent="0.25"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</row>
    <row r="860" spans="19:34" x14ac:dyDescent="0.25"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</row>
    <row r="861" spans="19:34" x14ac:dyDescent="0.25"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</row>
    <row r="862" spans="19:34" x14ac:dyDescent="0.25"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</row>
    <row r="863" spans="19:34" x14ac:dyDescent="0.25"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</row>
    <row r="864" spans="19:34" x14ac:dyDescent="0.25"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</row>
    <row r="865" spans="19:34" x14ac:dyDescent="0.25"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</row>
    <row r="866" spans="19:34" x14ac:dyDescent="0.25"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</row>
    <row r="867" spans="19:34" x14ac:dyDescent="0.25"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</row>
    <row r="868" spans="19:34" x14ac:dyDescent="0.25"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</row>
    <row r="869" spans="19:34" x14ac:dyDescent="0.25"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</row>
    <row r="870" spans="19:34" x14ac:dyDescent="0.25"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</row>
    <row r="871" spans="19:34" x14ac:dyDescent="0.25"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</row>
    <row r="872" spans="19:34" x14ac:dyDescent="0.25"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</row>
    <row r="873" spans="19:34" x14ac:dyDescent="0.25"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</row>
    <row r="874" spans="19:34" x14ac:dyDescent="0.25"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</row>
    <row r="875" spans="19:34" x14ac:dyDescent="0.25"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</row>
    <row r="876" spans="19:34" x14ac:dyDescent="0.25"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</row>
    <row r="877" spans="19:34" x14ac:dyDescent="0.25"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</row>
    <row r="878" spans="19:34" x14ac:dyDescent="0.25"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</row>
    <row r="879" spans="19:34" x14ac:dyDescent="0.25"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</row>
    <row r="880" spans="19:34" x14ac:dyDescent="0.25"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</row>
    <row r="881" spans="19:34" x14ac:dyDescent="0.25"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</row>
    <row r="882" spans="19:34" x14ac:dyDescent="0.25"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</row>
    <row r="883" spans="19:34" x14ac:dyDescent="0.25"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</row>
    <row r="884" spans="19:34" x14ac:dyDescent="0.25"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</row>
    <row r="885" spans="19:34" x14ac:dyDescent="0.25"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</row>
    <row r="886" spans="19:34" x14ac:dyDescent="0.25"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</row>
    <row r="887" spans="19:34" x14ac:dyDescent="0.25"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</row>
    <row r="888" spans="19:34" x14ac:dyDescent="0.25"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</row>
    <row r="889" spans="19:34" x14ac:dyDescent="0.25"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</row>
    <row r="890" spans="19:34" x14ac:dyDescent="0.25"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</row>
    <row r="891" spans="19:34" x14ac:dyDescent="0.25"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</row>
    <row r="892" spans="19:34" x14ac:dyDescent="0.25"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</row>
    <row r="893" spans="19:34" x14ac:dyDescent="0.25"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</row>
    <row r="894" spans="19:34" x14ac:dyDescent="0.25"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</row>
    <row r="895" spans="19:34" x14ac:dyDescent="0.25"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</row>
    <row r="896" spans="19:34" x14ac:dyDescent="0.25"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</row>
    <row r="897" spans="19:34" x14ac:dyDescent="0.25"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</row>
    <row r="898" spans="19:34" x14ac:dyDescent="0.25"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</row>
    <row r="899" spans="19:34" x14ac:dyDescent="0.25"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</row>
    <row r="900" spans="19:34" x14ac:dyDescent="0.25"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</row>
    <row r="901" spans="19:34" x14ac:dyDescent="0.25"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</row>
    <row r="902" spans="19:34" x14ac:dyDescent="0.25"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</row>
    <row r="903" spans="19:34" x14ac:dyDescent="0.25"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</row>
    <row r="904" spans="19:34" x14ac:dyDescent="0.25"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</row>
    <row r="905" spans="19:34" x14ac:dyDescent="0.25"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</row>
    <row r="906" spans="19:34" x14ac:dyDescent="0.25"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</row>
    <row r="907" spans="19:34" x14ac:dyDescent="0.25"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</row>
    <row r="908" spans="19:34" x14ac:dyDescent="0.25"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</row>
    <row r="909" spans="19:34" x14ac:dyDescent="0.25"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</row>
    <row r="910" spans="19:34" x14ac:dyDescent="0.25"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</row>
    <row r="911" spans="19:34" x14ac:dyDescent="0.25"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</row>
    <row r="912" spans="19:34" x14ac:dyDescent="0.25"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</row>
    <row r="913" spans="19:34" x14ac:dyDescent="0.25"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</row>
    <row r="914" spans="19:34" x14ac:dyDescent="0.25"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</row>
    <row r="915" spans="19:34" x14ac:dyDescent="0.25"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</row>
    <row r="916" spans="19:34" x14ac:dyDescent="0.25"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</row>
    <row r="917" spans="19:34" x14ac:dyDescent="0.25"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</row>
    <row r="918" spans="19:34" x14ac:dyDescent="0.25"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</row>
    <row r="919" spans="19:34" x14ac:dyDescent="0.25"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</row>
    <row r="920" spans="19:34" x14ac:dyDescent="0.25"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</row>
    <row r="921" spans="19:34" x14ac:dyDescent="0.25"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</row>
    <row r="922" spans="19:34" x14ac:dyDescent="0.25"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</row>
    <row r="923" spans="19:34" x14ac:dyDescent="0.25"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</row>
    <row r="924" spans="19:34" x14ac:dyDescent="0.25"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</row>
    <row r="925" spans="19:34" x14ac:dyDescent="0.25"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</row>
    <row r="926" spans="19:34" x14ac:dyDescent="0.25"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</row>
    <row r="927" spans="19:34" x14ac:dyDescent="0.25"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</row>
    <row r="928" spans="19:34" x14ac:dyDescent="0.25"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</row>
    <row r="929" spans="19:34" x14ac:dyDescent="0.25"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</row>
    <row r="930" spans="19:34" x14ac:dyDescent="0.25"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</row>
    <row r="931" spans="19:34" x14ac:dyDescent="0.25"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</row>
    <row r="932" spans="19:34" x14ac:dyDescent="0.25"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</row>
    <row r="933" spans="19:34" x14ac:dyDescent="0.25"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</row>
    <row r="934" spans="19:34" x14ac:dyDescent="0.25"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</row>
    <row r="935" spans="19:34" x14ac:dyDescent="0.25"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</row>
    <row r="936" spans="19:34" x14ac:dyDescent="0.25"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</row>
    <row r="937" spans="19:34" x14ac:dyDescent="0.25"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</row>
    <row r="938" spans="19:34" x14ac:dyDescent="0.25"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</row>
    <row r="939" spans="19:34" x14ac:dyDescent="0.25"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</row>
    <row r="940" spans="19:34" x14ac:dyDescent="0.25"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</row>
    <row r="941" spans="19:34" x14ac:dyDescent="0.25"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</row>
    <row r="942" spans="19:34" x14ac:dyDescent="0.25"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</row>
    <row r="943" spans="19:34" x14ac:dyDescent="0.25"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</row>
    <row r="944" spans="19:34" x14ac:dyDescent="0.25"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</row>
    <row r="945" spans="19:34" x14ac:dyDescent="0.25"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</row>
    <row r="946" spans="19:34" x14ac:dyDescent="0.25"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</row>
    <row r="947" spans="19:34" x14ac:dyDescent="0.25"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</row>
    <row r="948" spans="19:34" x14ac:dyDescent="0.25"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</row>
    <row r="949" spans="19:34" x14ac:dyDescent="0.25"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</row>
    <row r="950" spans="19:34" x14ac:dyDescent="0.25"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</row>
    <row r="951" spans="19:34" x14ac:dyDescent="0.25"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</row>
    <row r="952" spans="19:34" x14ac:dyDescent="0.25"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</row>
    <row r="953" spans="19:34" x14ac:dyDescent="0.25"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</row>
    <row r="954" spans="19:34" x14ac:dyDescent="0.25"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</row>
    <row r="955" spans="19:34" x14ac:dyDescent="0.25"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</row>
    <row r="956" spans="19:34" x14ac:dyDescent="0.25"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</row>
    <row r="957" spans="19:34" x14ac:dyDescent="0.25"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</row>
    <row r="958" spans="19:34" x14ac:dyDescent="0.25"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</row>
    <row r="959" spans="19:34" x14ac:dyDescent="0.25"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</row>
    <row r="960" spans="19:34" x14ac:dyDescent="0.25"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</row>
    <row r="961" spans="19:34" x14ac:dyDescent="0.25"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</row>
    <row r="962" spans="19:34" x14ac:dyDescent="0.25"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</row>
    <row r="963" spans="19:34" x14ac:dyDescent="0.25"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</row>
    <row r="964" spans="19:34" x14ac:dyDescent="0.25"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</row>
    <row r="965" spans="19:34" x14ac:dyDescent="0.25"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</row>
    <row r="966" spans="19:34" x14ac:dyDescent="0.25"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</row>
    <row r="967" spans="19:34" x14ac:dyDescent="0.25"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</row>
    <row r="968" spans="19:34" x14ac:dyDescent="0.25"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</row>
    <row r="969" spans="19:34" x14ac:dyDescent="0.25"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</row>
    <row r="970" spans="19:34" x14ac:dyDescent="0.25"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</row>
    <row r="971" spans="19:34" x14ac:dyDescent="0.25"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</row>
    <row r="972" spans="19:34" x14ac:dyDescent="0.25"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</row>
    <row r="973" spans="19:34" x14ac:dyDescent="0.25"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</row>
    <row r="974" spans="19:34" x14ac:dyDescent="0.25"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</row>
    <row r="975" spans="19:34" x14ac:dyDescent="0.25"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</row>
    <row r="976" spans="19:34" x14ac:dyDescent="0.25"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</row>
    <row r="977" spans="19:34" x14ac:dyDescent="0.25"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</row>
    <row r="978" spans="19:34" x14ac:dyDescent="0.25"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</row>
    <row r="979" spans="19:34" x14ac:dyDescent="0.25"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</row>
    <row r="980" spans="19:34" x14ac:dyDescent="0.25"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</row>
    <row r="981" spans="19:34" x14ac:dyDescent="0.25"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</row>
    <row r="982" spans="19:34" x14ac:dyDescent="0.25"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</row>
    <row r="983" spans="19:34" x14ac:dyDescent="0.25"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</row>
    <row r="984" spans="19:34" x14ac:dyDescent="0.25"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</row>
    <row r="985" spans="19:34" x14ac:dyDescent="0.25"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</row>
    <row r="986" spans="19:34" x14ac:dyDescent="0.25"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</row>
    <row r="987" spans="19:34" x14ac:dyDescent="0.25"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</row>
    <row r="988" spans="19:34" x14ac:dyDescent="0.25"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</row>
    <row r="989" spans="19:34" x14ac:dyDescent="0.25"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</row>
    <row r="990" spans="19:34" x14ac:dyDescent="0.25"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</row>
    <row r="991" spans="19:34" x14ac:dyDescent="0.25"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</row>
    <row r="992" spans="19:34" x14ac:dyDescent="0.25"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</row>
    <row r="993" spans="19:34" x14ac:dyDescent="0.25"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</row>
    <row r="994" spans="19:34" x14ac:dyDescent="0.25"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</row>
    <row r="995" spans="19:34" x14ac:dyDescent="0.25"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</row>
    <row r="996" spans="19:34" x14ac:dyDescent="0.25"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</row>
    <row r="997" spans="19:34" x14ac:dyDescent="0.25"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</row>
    <row r="998" spans="19:34" x14ac:dyDescent="0.25"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</row>
    <row r="999" spans="19:34" x14ac:dyDescent="0.25"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</row>
    <row r="1000" spans="19:34" x14ac:dyDescent="0.25"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</row>
    <row r="1001" spans="19:34" x14ac:dyDescent="0.25"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</row>
    <row r="1002" spans="19:34" x14ac:dyDescent="0.25"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</row>
    <row r="1003" spans="19:34" x14ac:dyDescent="0.25"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</row>
    <row r="1004" spans="19:34" x14ac:dyDescent="0.25"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</row>
    <row r="1005" spans="19:34" x14ac:dyDescent="0.25"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</row>
    <row r="1006" spans="19:34" x14ac:dyDescent="0.25"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</row>
    <row r="1007" spans="19:34" x14ac:dyDescent="0.25"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</row>
    <row r="1008" spans="19:34" x14ac:dyDescent="0.25"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</row>
    <row r="1009" spans="19:34" x14ac:dyDescent="0.25"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</row>
    <row r="1010" spans="19:34" x14ac:dyDescent="0.25"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</row>
    <row r="1011" spans="19:34" x14ac:dyDescent="0.25"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</row>
    <row r="1012" spans="19:34" x14ac:dyDescent="0.25"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</row>
    <row r="1013" spans="19:34" x14ac:dyDescent="0.25"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</row>
    <row r="1014" spans="19:34" x14ac:dyDescent="0.25"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</row>
    <row r="1015" spans="19:34" x14ac:dyDescent="0.25"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</row>
    <row r="1016" spans="19:34" x14ac:dyDescent="0.25"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</row>
    <row r="1017" spans="19:34" x14ac:dyDescent="0.25"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</row>
    <row r="1018" spans="19:34" x14ac:dyDescent="0.25"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</row>
    <row r="1019" spans="19:34" x14ac:dyDescent="0.25"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</row>
    <row r="1020" spans="19:34" x14ac:dyDescent="0.25"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</row>
    <row r="1021" spans="19:34" x14ac:dyDescent="0.25"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</row>
    <row r="1022" spans="19:34" x14ac:dyDescent="0.25"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</row>
    <row r="1023" spans="19:34" x14ac:dyDescent="0.25"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</row>
    <row r="1024" spans="19:34" x14ac:dyDescent="0.25"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</row>
    <row r="1025" spans="19:34" x14ac:dyDescent="0.25"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</row>
    <row r="1026" spans="19:34" x14ac:dyDescent="0.25"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</row>
    <row r="1027" spans="19:34" x14ac:dyDescent="0.25"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</row>
    <row r="1028" spans="19:34" x14ac:dyDescent="0.25"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</row>
    <row r="1029" spans="19:34" x14ac:dyDescent="0.25"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</row>
    <row r="1030" spans="19:34" x14ac:dyDescent="0.25"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</row>
    <row r="1031" spans="19:34" x14ac:dyDescent="0.25"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</row>
    <row r="1032" spans="19:34" x14ac:dyDescent="0.25"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</row>
    <row r="1033" spans="19:34" x14ac:dyDescent="0.25"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</row>
    <row r="1034" spans="19:34" x14ac:dyDescent="0.25"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</row>
    <row r="1035" spans="19:34" x14ac:dyDescent="0.25"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</row>
    <row r="1036" spans="19:34" x14ac:dyDescent="0.25"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</row>
    <row r="1037" spans="19:34" x14ac:dyDescent="0.25"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</row>
    <row r="1038" spans="19:34" x14ac:dyDescent="0.25"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</row>
    <row r="1039" spans="19:34" x14ac:dyDescent="0.25"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</row>
    <row r="1040" spans="19:34" x14ac:dyDescent="0.25"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</row>
    <row r="1041" spans="19:34" x14ac:dyDescent="0.25"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</row>
    <row r="1042" spans="19:34" x14ac:dyDescent="0.25"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</row>
    <row r="1043" spans="19:34" x14ac:dyDescent="0.25"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</row>
    <row r="1044" spans="19:34" x14ac:dyDescent="0.25"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</row>
    <row r="1045" spans="19:34" x14ac:dyDescent="0.25"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</row>
    <row r="1046" spans="19:34" x14ac:dyDescent="0.25"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</row>
    <row r="1047" spans="19:34" x14ac:dyDescent="0.25"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</row>
    <row r="1048" spans="19:34" x14ac:dyDescent="0.25"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</row>
    <row r="1049" spans="19:34" x14ac:dyDescent="0.25"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</row>
    <row r="1050" spans="19:34" x14ac:dyDescent="0.25"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</row>
    <row r="1051" spans="19:34" x14ac:dyDescent="0.25"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</row>
    <row r="1052" spans="19:34" x14ac:dyDescent="0.25"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</row>
    <row r="1053" spans="19:34" x14ac:dyDescent="0.25"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</row>
    <row r="1054" spans="19:34" x14ac:dyDescent="0.25"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</row>
    <row r="1055" spans="19:34" x14ac:dyDescent="0.25"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</row>
    <row r="1056" spans="19:34" x14ac:dyDescent="0.25"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</row>
    <row r="1057" spans="19:34" x14ac:dyDescent="0.25"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</row>
    <row r="1058" spans="19:34" x14ac:dyDescent="0.25"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</row>
    <row r="1059" spans="19:34" x14ac:dyDescent="0.25"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</row>
    <row r="1060" spans="19:34" x14ac:dyDescent="0.25"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</row>
    <row r="1061" spans="19:34" x14ac:dyDescent="0.25"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</row>
    <row r="1062" spans="19:34" x14ac:dyDescent="0.25"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</row>
    <row r="1063" spans="19:34" x14ac:dyDescent="0.25"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</row>
    <row r="1064" spans="19:34" x14ac:dyDescent="0.25"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</row>
    <row r="1065" spans="19:34" x14ac:dyDescent="0.25"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</row>
    <row r="1066" spans="19:34" x14ac:dyDescent="0.25"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</row>
    <row r="1067" spans="19:34" x14ac:dyDescent="0.25"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</row>
    <row r="1068" spans="19:34" x14ac:dyDescent="0.25"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</row>
    <row r="1069" spans="19:34" x14ac:dyDescent="0.25"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</row>
    <row r="1070" spans="19:34" x14ac:dyDescent="0.25"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</row>
    <row r="1071" spans="19:34" x14ac:dyDescent="0.25"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</row>
    <row r="1072" spans="19:34" x14ac:dyDescent="0.25"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</row>
    <row r="1073" spans="19:34" x14ac:dyDescent="0.25"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</row>
    <row r="1074" spans="19:34" x14ac:dyDescent="0.25"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</row>
    <row r="1075" spans="19:34" x14ac:dyDescent="0.25"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</row>
    <row r="1076" spans="19:34" x14ac:dyDescent="0.25"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</row>
    <row r="1077" spans="19:34" x14ac:dyDescent="0.25"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</row>
    <row r="1078" spans="19:34" x14ac:dyDescent="0.25"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</row>
    <row r="1079" spans="19:34" x14ac:dyDescent="0.25"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</row>
    <row r="1080" spans="19:34" x14ac:dyDescent="0.25"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</row>
    <row r="1081" spans="19:34" x14ac:dyDescent="0.25"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</row>
    <row r="1082" spans="19:34" x14ac:dyDescent="0.25"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</row>
    <row r="1083" spans="19:34" x14ac:dyDescent="0.25"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</row>
    <row r="1084" spans="19:34" x14ac:dyDescent="0.25"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</row>
    <row r="1085" spans="19:34" x14ac:dyDescent="0.25"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</row>
    <row r="1086" spans="19:34" x14ac:dyDescent="0.25"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</row>
    <row r="1087" spans="19:34" x14ac:dyDescent="0.25"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</row>
    <row r="1088" spans="19:34" x14ac:dyDescent="0.25"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</row>
    <row r="1089" spans="19:34" x14ac:dyDescent="0.25"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</row>
    <row r="1090" spans="19:34" x14ac:dyDescent="0.25"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</row>
    <row r="1091" spans="19:34" x14ac:dyDescent="0.25"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</row>
    <row r="1092" spans="19:34" x14ac:dyDescent="0.25"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</row>
    <row r="1093" spans="19:34" x14ac:dyDescent="0.25"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</row>
    <row r="1094" spans="19:34" x14ac:dyDescent="0.25"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</row>
    <row r="1095" spans="19:34" x14ac:dyDescent="0.25"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</row>
    <row r="1096" spans="19:34" x14ac:dyDescent="0.25"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</row>
    <row r="1097" spans="19:34" x14ac:dyDescent="0.25"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</row>
    <row r="1098" spans="19:34" x14ac:dyDescent="0.25"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</row>
    <row r="1099" spans="19:34" x14ac:dyDescent="0.25"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</row>
    <row r="1100" spans="19:34" x14ac:dyDescent="0.25"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</row>
    <row r="1101" spans="19:34" x14ac:dyDescent="0.25"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</row>
    <row r="1102" spans="19:34" x14ac:dyDescent="0.25"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</row>
    <row r="1103" spans="19:34" x14ac:dyDescent="0.25"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</row>
    <row r="1104" spans="19:34" x14ac:dyDescent="0.25"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</row>
    <row r="1105" spans="19:34" x14ac:dyDescent="0.25"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</row>
    <row r="1106" spans="19:34" x14ac:dyDescent="0.25"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</row>
    <row r="1107" spans="19:34" x14ac:dyDescent="0.25"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</row>
    <row r="1108" spans="19:34" x14ac:dyDescent="0.25"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</row>
    <row r="1109" spans="19:34" x14ac:dyDescent="0.25"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</row>
    <row r="1110" spans="19:34" x14ac:dyDescent="0.25"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</row>
    <row r="1111" spans="19:34" x14ac:dyDescent="0.25"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</row>
    <row r="1112" spans="19:34" x14ac:dyDescent="0.25"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</row>
    <row r="1113" spans="19:34" x14ac:dyDescent="0.25"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</row>
    <row r="1114" spans="19:34" x14ac:dyDescent="0.25"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</row>
    <row r="1115" spans="19:34" x14ac:dyDescent="0.25"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</row>
    <row r="1116" spans="19:34" x14ac:dyDescent="0.25"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</row>
    <row r="1117" spans="19:34" x14ac:dyDescent="0.25"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</row>
    <row r="1118" spans="19:34" x14ac:dyDescent="0.25"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</row>
    <row r="1119" spans="19:34" x14ac:dyDescent="0.25"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</row>
    <row r="1120" spans="19:34" x14ac:dyDescent="0.25"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</row>
    <row r="1121" spans="19:34" x14ac:dyDescent="0.25"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</row>
    <row r="1122" spans="19:34" x14ac:dyDescent="0.25"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</row>
    <row r="1123" spans="19:34" x14ac:dyDescent="0.25"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</row>
    <row r="1124" spans="19:34" x14ac:dyDescent="0.25"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</row>
    <row r="1125" spans="19:34" x14ac:dyDescent="0.25"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</row>
    <row r="1126" spans="19:34" x14ac:dyDescent="0.25"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</row>
    <row r="1127" spans="19:34" x14ac:dyDescent="0.25"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</row>
    <row r="1128" spans="19:34" x14ac:dyDescent="0.25"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</row>
    <row r="1129" spans="19:34" x14ac:dyDescent="0.25"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</row>
    <row r="1130" spans="19:34" x14ac:dyDescent="0.25"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</row>
    <row r="1131" spans="19:34" x14ac:dyDescent="0.25"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</row>
    <row r="1132" spans="19:34" x14ac:dyDescent="0.25"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</row>
    <row r="1133" spans="19:34" x14ac:dyDescent="0.25"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</row>
    <row r="1134" spans="19:34" x14ac:dyDescent="0.25"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</row>
    <row r="1135" spans="19:34" x14ac:dyDescent="0.25"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</row>
    <row r="1136" spans="19:34" x14ac:dyDescent="0.25"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</row>
    <row r="1137" spans="19:34" x14ac:dyDescent="0.25"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</row>
    <row r="1138" spans="19:34" x14ac:dyDescent="0.25"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</row>
    <row r="1139" spans="19:34" x14ac:dyDescent="0.25"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</row>
    <row r="1140" spans="19:34" x14ac:dyDescent="0.25"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</row>
    <row r="1141" spans="19:34" x14ac:dyDescent="0.25"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</row>
    <row r="1142" spans="19:34" x14ac:dyDescent="0.25"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</row>
    <row r="1143" spans="19:34" x14ac:dyDescent="0.25"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</row>
    <row r="1144" spans="19:34" x14ac:dyDescent="0.25"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</row>
    <row r="1145" spans="19:34" x14ac:dyDescent="0.25"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</row>
    <row r="1146" spans="19:34" x14ac:dyDescent="0.25"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</row>
    <row r="1147" spans="19:34" x14ac:dyDescent="0.25"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</row>
    <row r="1148" spans="19:34" x14ac:dyDescent="0.25"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</row>
    <row r="1149" spans="19:34" x14ac:dyDescent="0.25"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</row>
    <row r="1150" spans="19:34" x14ac:dyDescent="0.25"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</row>
    <row r="1151" spans="19:34" x14ac:dyDescent="0.25"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</row>
    <row r="1152" spans="19:34" x14ac:dyDescent="0.25"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</row>
    <row r="1153" spans="19:34" x14ac:dyDescent="0.25"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</row>
    <row r="1154" spans="19:34" x14ac:dyDescent="0.25"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</row>
    <row r="1155" spans="19:34" x14ac:dyDescent="0.25"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</row>
    <row r="1156" spans="19:34" x14ac:dyDescent="0.25"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</row>
    <row r="1157" spans="19:34" x14ac:dyDescent="0.25"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</row>
    <row r="1158" spans="19:34" x14ac:dyDescent="0.25"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</row>
    <row r="1159" spans="19:34" x14ac:dyDescent="0.25"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</row>
    <row r="1160" spans="19:34" x14ac:dyDescent="0.25"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</row>
    <row r="1161" spans="19:34" x14ac:dyDescent="0.25"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</row>
    <row r="1162" spans="19:34" x14ac:dyDescent="0.25"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</row>
    <row r="1163" spans="19:34" x14ac:dyDescent="0.25"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</row>
    <row r="1164" spans="19:34" x14ac:dyDescent="0.25"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</row>
    <row r="1165" spans="19:34" x14ac:dyDescent="0.25"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</row>
    <row r="1166" spans="19:34" x14ac:dyDescent="0.25"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</row>
    <row r="1167" spans="19:34" x14ac:dyDescent="0.25"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</row>
    <row r="1168" spans="19:34" x14ac:dyDescent="0.25"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</row>
    <row r="1169" spans="19:34" x14ac:dyDescent="0.25"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</row>
    <row r="1170" spans="19:34" x14ac:dyDescent="0.25"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</row>
    <row r="1171" spans="19:34" x14ac:dyDescent="0.25"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</row>
    <row r="1172" spans="19:34" x14ac:dyDescent="0.25"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</row>
    <row r="1173" spans="19:34" x14ac:dyDescent="0.25"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</row>
    <row r="1174" spans="19:34" x14ac:dyDescent="0.25"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</row>
    <row r="1175" spans="19:34" x14ac:dyDescent="0.25"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</row>
    <row r="1176" spans="19:34" x14ac:dyDescent="0.25"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</row>
    <row r="1177" spans="19:34" x14ac:dyDescent="0.25"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</row>
    <row r="1178" spans="19:34" x14ac:dyDescent="0.25"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</row>
    <row r="1179" spans="19:34" x14ac:dyDescent="0.25"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</row>
    <row r="1180" spans="19:34" x14ac:dyDescent="0.25"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</row>
    <row r="1181" spans="19:34" x14ac:dyDescent="0.25"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</row>
    <row r="1182" spans="19:34" x14ac:dyDescent="0.25"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</row>
    <row r="1183" spans="19:34" x14ac:dyDescent="0.25"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</row>
    <row r="1184" spans="19:34" x14ac:dyDescent="0.25"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</row>
    <row r="1185" spans="19:34" x14ac:dyDescent="0.25"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</row>
    <row r="1186" spans="19:34" x14ac:dyDescent="0.25"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</row>
    <row r="1187" spans="19:34" x14ac:dyDescent="0.25"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</row>
    <row r="1188" spans="19:34" x14ac:dyDescent="0.25"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</row>
    <row r="1189" spans="19:34" x14ac:dyDescent="0.25"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</row>
    <row r="1190" spans="19:34" x14ac:dyDescent="0.25"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</row>
    <row r="1191" spans="19:34" x14ac:dyDescent="0.25"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</row>
    <row r="1192" spans="19:34" x14ac:dyDescent="0.25"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</row>
    <row r="1193" spans="19:34" x14ac:dyDescent="0.25"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</row>
    <row r="1194" spans="19:34" x14ac:dyDescent="0.25"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</row>
    <row r="1195" spans="19:34" x14ac:dyDescent="0.25"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</row>
    <row r="1196" spans="19:34" x14ac:dyDescent="0.25"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</row>
    <row r="1197" spans="19:34" x14ac:dyDescent="0.25"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</row>
    <row r="1198" spans="19:34" x14ac:dyDescent="0.25"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</row>
    <row r="1199" spans="19:34" x14ac:dyDescent="0.25"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</row>
    <row r="1200" spans="19:34" x14ac:dyDescent="0.25"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</row>
    <row r="1201" spans="19:34" x14ac:dyDescent="0.25"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</row>
    <row r="1202" spans="19:34" x14ac:dyDescent="0.25"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</row>
    <row r="1203" spans="19:34" x14ac:dyDescent="0.25"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</row>
    <row r="1204" spans="19:34" x14ac:dyDescent="0.25"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</row>
    <row r="1205" spans="19:34" x14ac:dyDescent="0.25"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</row>
    <row r="1206" spans="19:34" x14ac:dyDescent="0.25"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</row>
    <row r="1207" spans="19:34" x14ac:dyDescent="0.25"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</row>
    <row r="1208" spans="19:34" x14ac:dyDescent="0.25"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</row>
    <row r="1209" spans="19:34" x14ac:dyDescent="0.25"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</row>
    <row r="1210" spans="19:34" x14ac:dyDescent="0.25"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</row>
    <row r="1211" spans="19:34" x14ac:dyDescent="0.25"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</row>
    <row r="1212" spans="19:34" x14ac:dyDescent="0.25"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</row>
    <row r="1213" spans="19:34" x14ac:dyDescent="0.25"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</row>
    <row r="1214" spans="19:34" x14ac:dyDescent="0.25"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</row>
    <row r="1215" spans="19:34" x14ac:dyDescent="0.25"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</row>
    <row r="1216" spans="19:34" x14ac:dyDescent="0.25"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</row>
    <row r="1217" spans="19:34" x14ac:dyDescent="0.25"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</row>
    <row r="1218" spans="19:34" x14ac:dyDescent="0.25"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</row>
    <row r="1219" spans="19:34" x14ac:dyDescent="0.25"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</row>
    <row r="1220" spans="19:34" x14ac:dyDescent="0.25"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</row>
    <row r="1221" spans="19:34" x14ac:dyDescent="0.25"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</row>
    <row r="1222" spans="19:34" x14ac:dyDescent="0.25"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</row>
    <row r="1223" spans="19:34" x14ac:dyDescent="0.25"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</row>
    <row r="1224" spans="19:34" x14ac:dyDescent="0.25"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</row>
    <row r="1225" spans="19:34" x14ac:dyDescent="0.25"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</row>
    <row r="1226" spans="19:34" x14ac:dyDescent="0.25"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</row>
    <row r="1227" spans="19:34" x14ac:dyDescent="0.25"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</row>
    <row r="1228" spans="19:34" x14ac:dyDescent="0.25"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</row>
    <row r="1229" spans="19:34" x14ac:dyDescent="0.25"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</row>
    <row r="1230" spans="19:34" x14ac:dyDescent="0.25"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</row>
    <row r="1231" spans="19:34" x14ac:dyDescent="0.25"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</row>
    <row r="1232" spans="19:34" x14ac:dyDescent="0.25"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</row>
    <row r="1233" spans="19:34" x14ac:dyDescent="0.25"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</row>
    <row r="1234" spans="19:34" x14ac:dyDescent="0.25"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</row>
    <row r="1235" spans="19:34" x14ac:dyDescent="0.25"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</row>
    <row r="1236" spans="19:34" x14ac:dyDescent="0.25"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</row>
    <row r="1237" spans="19:34" x14ac:dyDescent="0.25"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</row>
    <row r="1238" spans="19:34" x14ac:dyDescent="0.25"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</row>
    <row r="1239" spans="19:34" x14ac:dyDescent="0.25"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</row>
    <row r="1240" spans="19:34" x14ac:dyDescent="0.25"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</row>
    <row r="1241" spans="19:34" x14ac:dyDescent="0.25"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</row>
    <row r="1242" spans="19:34" x14ac:dyDescent="0.25"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</row>
    <row r="1243" spans="19:34" x14ac:dyDescent="0.25"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</row>
    <row r="1244" spans="19:34" x14ac:dyDescent="0.25"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</row>
    <row r="1245" spans="19:34" x14ac:dyDescent="0.25"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</row>
    <row r="1246" spans="19:34" x14ac:dyDescent="0.25"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</row>
    <row r="1247" spans="19:34" x14ac:dyDescent="0.25"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</row>
    <row r="1248" spans="19:34" x14ac:dyDescent="0.25"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</row>
    <row r="1249" spans="19:34" x14ac:dyDescent="0.25"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</row>
    <row r="1250" spans="19:34" x14ac:dyDescent="0.25"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</row>
    <row r="1251" spans="19:34" x14ac:dyDescent="0.25"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</row>
    <row r="1252" spans="19:34" x14ac:dyDescent="0.25"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</row>
    <row r="1253" spans="19:34" x14ac:dyDescent="0.25"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</row>
    <row r="1254" spans="19:34" x14ac:dyDescent="0.25"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</row>
    <row r="1255" spans="19:34" x14ac:dyDescent="0.25"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</row>
    <row r="1256" spans="19:34" x14ac:dyDescent="0.25"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</row>
    <row r="1257" spans="19:34" x14ac:dyDescent="0.25"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</row>
    <row r="1258" spans="19:34" x14ac:dyDescent="0.25"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</row>
    <row r="1259" spans="19:34" x14ac:dyDescent="0.25"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</row>
    <row r="1260" spans="19:34" x14ac:dyDescent="0.25"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</row>
    <row r="1261" spans="19:34" x14ac:dyDescent="0.25"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</row>
    <row r="1262" spans="19:34" x14ac:dyDescent="0.25"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</row>
    <row r="1263" spans="19:34" x14ac:dyDescent="0.25"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</row>
    <row r="1264" spans="19:34" x14ac:dyDescent="0.25"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</row>
    <row r="1265" spans="19:34" x14ac:dyDescent="0.25"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</row>
    <row r="1266" spans="19:34" x14ac:dyDescent="0.25"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</row>
    <row r="1267" spans="19:34" x14ac:dyDescent="0.25"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</row>
    <row r="1268" spans="19:34" x14ac:dyDescent="0.25"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</row>
    <row r="1269" spans="19:34" x14ac:dyDescent="0.25"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</row>
    <row r="1270" spans="19:34" x14ac:dyDescent="0.25"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</row>
    <row r="1271" spans="19:34" x14ac:dyDescent="0.25"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</row>
    <row r="1272" spans="19:34" x14ac:dyDescent="0.25"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</row>
    <row r="1273" spans="19:34" x14ac:dyDescent="0.25"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</row>
    <row r="1274" spans="19:34" x14ac:dyDescent="0.25"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</row>
    <row r="1275" spans="19:34" x14ac:dyDescent="0.25"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</row>
    <row r="1276" spans="19:34" x14ac:dyDescent="0.25"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</row>
    <row r="1277" spans="19:34" x14ac:dyDescent="0.25"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</row>
    <row r="1278" spans="19:34" x14ac:dyDescent="0.25"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</row>
    <row r="1279" spans="19:34" x14ac:dyDescent="0.25"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</row>
    <row r="1280" spans="19:34" x14ac:dyDescent="0.25"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</row>
    <row r="1281" spans="19:34" x14ac:dyDescent="0.25"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</row>
    <row r="1282" spans="19:34" x14ac:dyDescent="0.25"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</row>
    <row r="1283" spans="19:34" x14ac:dyDescent="0.25"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</row>
    <row r="1284" spans="19:34" x14ac:dyDescent="0.25"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</row>
    <row r="1285" spans="19:34" x14ac:dyDescent="0.25"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</row>
    <row r="1286" spans="19:34" x14ac:dyDescent="0.25"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</row>
    <row r="1287" spans="19:34" x14ac:dyDescent="0.25"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</row>
    <row r="1288" spans="19:34" x14ac:dyDescent="0.25"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</row>
    <row r="1289" spans="19:34" x14ac:dyDescent="0.25"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</row>
    <row r="1290" spans="19:34" x14ac:dyDescent="0.25"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</row>
    <row r="1291" spans="19:34" x14ac:dyDescent="0.25"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</row>
    <row r="1292" spans="19:34" x14ac:dyDescent="0.25"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</row>
    <row r="1293" spans="19:34" x14ac:dyDescent="0.25"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</row>
    <row r="1294" spans="19:34" x14ac:dyDescent="0.25"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</row>
    <row r="1295" spans="19:34" x14ac:dyDescent="0.25"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</row>
    <row r="1296" spans="19:34" x14ac:dyDescent="0.25"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</row>
    <row r="1297" spans="19:34" x14ac:dyDescent="0.25"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</row>
    <row r="1298" spans="19:34" x14ac:dyDescent="0.25"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</row>
    <row r="1299" spans="19:34" x14ac:dyDescent="0.25"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</row>
    <row r="1300" spans="19:34" x14ac:dyDescent="0.25"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</row>
    <row r="1301" spans="19:34" x14ac:dyDescent="0.25"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</row>
    <row r="1302" spans="19:34" x14ac:dyDescent="0.25"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</row>
    <row r="1303" spans="19:34" x14ac:dyDescent="0.25"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</row>
    <row r="1304" spans="19:34" x14ac:dyDescent="0.25"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</row>
    <row r="1305" spans="19:34" x14ac:dyDescent="0.25"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</row>
    <row r="1306" spans="19:34" x14ac:dyDescent="0.25"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</row>
    <row r="1307" spans="19:34" x14ac:dyDescent="0.25"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</row>
    <row r="1308" spans="19:34" x14ac:dyDescent="0.25"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</row>
    <row r="1309" spans="19:34" x14ac:dyDescent="0.25"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</row>
    <row r="1310" spans="19:34" x14ac:dyDescent="0.25"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</row>
    <row r="1311" spans="19:34" x14ac:dyDescent="0.25"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</row>
    <row r="1312" spans="19:34" x14ac:dyDescent="0.25"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</row>
    <row r="1313" spans="19:34" x14ac:dyDescent="0.25"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</row>
    <row r="1314" spans="19:34" x14ac:dyDescent="0.25"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</row>
    <row r="1315" spans="19:34" x14ac:dyDescent="0.25"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</row>
    <row r="1316" spans="19:34" x14ac:dyDescent="0.25"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</row>
    <row r="1317" spans="19:34" x14ac:dyDescent="0.25"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</row>
    <row r="1318" spans="19:34" x14ac:dyDescent="0.25"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</row>
    <row r="1319" spans="19:34" x14ac:dyDescent="0.25"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</row>
    <row r="1320" spans="19:34" x14ac:dyDescent="0.25"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</row>
    <row r="1321" spans="19:34" x14ac:dyDescent="0.25"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</row>
    <row r="1322" spans="19:34" x14ac:dyDescent="0.25"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</row>
    <row r="1323" spans="19:34" x14ac:dyDescent="0.25"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</row>
    <row r="1324" spans="19:34" x14ac:dyDescent="0.25"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</row>
    <row r="1325" spans="19:34" x14ac:dyDescent="0.25"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</row>
    <row r="1326" spans="19:34" x14ac:dyDescent="0.25"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</row>
    <row r="1327" spans="19:34" x14ac:dyDescent="0.25"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</row>
    <row r="1328" spans="19:34" x14ac:dyDescent="0.25"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</row>
    <row r="1329" spans="19:34" x14ac:dyDescent="0.25"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</row>
    <row r="1330" spans="19:34" x14ac:dyDescent="0.25"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</row>
    <row r="1331" spans="19:34" x14ac:dyDescent="0.25"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</row>
    <row r="1332" spans="19:34" x14ac:dyDescent="0.25"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</row>
    <row r="1333" spans="19:34" x14ac:dyDescent="0.25"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</row>
    <row r="1334" spans="19:34" x14ac:dyDescent="0.25"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</row>
    <row r="1335" spans="19:34" x14ac:dyDescent="0.25"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</row>
    <row r="1336" spans="19:34" x14ac:dyDescent="0.25"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</row>
    <row r="1337" spans="19:34" x14ac:dyDescent="0.25"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</row>
    <row r="1338" spans="19:34" x14ac:dyDescent="0.25"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</row>
    <row r="1339" spans="19:34" x14ac:dyDescent="0.25"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</row>
    <row r="1340" spans="19:34" x14ac:dyDescent="0.25"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</row>
    <row r="1341" spans="19:34" x14ac:dyDescent="0.25"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</row>
    <row r="1342" spans="19:34" x14ac:dyDescent="0.25"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</row>
    <row r="1343" spans="19:34" x14ac:dyDescent="0.25"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</row>
    <row r="1344" spans="19:34" x14ac:dyDescent="0.25"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</row>
    <row r="1345" spans="19:34" x14ac:dyDescent="0.25"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</row>
    <row r="1346" spans="19:34" x14ac:dyDescent="0.25"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</row>
    <row r="1347" spans="19:34" x14ac:dyDescent="0.25"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</row>
    <row r="1348" spans="19:34" x14ac:dyDescent="0.25"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</row>
    <row r="1349" spans="19:34" x14ac:dyDescent="0.25"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</row>
    <row r="1350" spans="19:34" x14ac:dyDescent="0.25"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</row>
    <row r="1351" spans="19:34" x14ac:dyDescent="0.25"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</row>
    <row r="1352" spans="19:34" x14ac:dyDescent="0.25"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</row>
    <row r="1353" spans="19:34" x14ac:dyDescent="0.25"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</row>
    <row r="1354" spans="19:34" x14ac:dyDescent="0.25"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</row>
    <row r="1355" spans="19:34" x14ac:dyDescent="0.25"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</row>
    <row r="1356" spans="19:34" x14ac:dyDescent="0.25"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</row>
    <row r="1357" spans="19:34" x14ac:dyDescent="0.25"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</row>
    <row r="1358" spans="19:34" x14ac:dyDescent="0.25"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</row>
    <row r="1359" spans="19:34" x14ac:dyDescent="0.25"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</row>
    <row r="1360" spans="19:34" x14ac:dyDescent="0.25"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</row>
    <row r="1361" spans="19:34" x14ac:dyDescent="0.25"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</row>
    <row r="1362" spans="19:34" x14ac:dyDescent="0.25"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</row>
    <row r="1363" spans="19:34" x14ac:dyDescent="0.25"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</row>
    <row r="1364" spans="19:34" x14ac:dyDescent="0.25"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</row>
    <row r="1365" spans="19:34" x14ac:dyDescent="0.25"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</row>
    <row r="1366" spans="19:34" x14ac:dyDescent="0.25"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</row>
    <row r="1367" spans="19:34" x14ac:dyDescent="0.25"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</row>
    <row r="1368" spans="19:34" x14ac:dyDescent="0.25"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</row>
    <row r="1369" spans="19:34" x14ac:dyDescent="0.25"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</row>
    <row r="1370" spans="19:34" x14ac:dyDescent="0.25"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</row>
    <row r="1371" spans="19:34" x14ac:dyDescent="0.25"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</row>
    <row r="1372" spans="19:34" x14ac:dyDescent="0.25"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</row>
    <row r="1373" spans="19:34" x14ac:dyDescent="0.25"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</row>
    <row r="1374" spans="19:34" x14ac:dyDescent="0.25"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</row>
    <row r="1375" spans="19:34" x14ac:dyDescent="0.25"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</row>
    <row r="1376" spans="19:34" x14ac:dyDescent="0.25"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</row>
    <row r="1377" spans="19:34" x14ac:dyDescent="0.25"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</row>
    <row r="1378" spans="19:34" x14ac:dyDescent="0.25"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</row>
    <row r="1379" spans="19:34" x14ac:dyDescent="0.25"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</row>
    <row r="1380" spans="19:34" x14ac:dyDescent="0.25"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</row>
    <row r="1381" spans="19:34" x14ac:dyDescent="0.25"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</row>
    <row r="1382" spans="19:34" x14ac:dyDescent="0.25"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</row>
    <row r="1383" spans="19:34" x14ac:dyDescent="0.25"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</row>
    <row r="1384" spans="19:34" x14ac:dyDescent="0.25"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</row>
    <row r="1385" spans="19:34" x14ac:dyDescent="0.25"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</row>
    <row r="1386" spans="19:34" x14ac:dyDescent="0.25"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</row>
    <row r="1387" spans="19:34" x14ac:dyDescent="0.25"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</row>
    <row r="1388" spans="19:34" x14ac:dyDescent="0.25"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</row>
    <row r="1389" spans="19:34" x14ac:dyDescent="0.25"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</row>
    <row r="1390" spans="19:34" x14ac:dyDescent="0.25"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</row>
    <row r="1391" spans="19:34" x14ac:dyDescent="0.25"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</row>
    <row r="1392" spans="19:34" x14ac:dyDescent="0.25"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</row>
    <row r="1393" spans="19:34" x14ac:dyDescent="0.25"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</row>
    <row r="1394" spans="19:34" x14ac:dyDescent="0.25"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</row>
    <row r="1395" spans="19:34" x14ac:dyDescent="0.25"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</row>
    <row r="1396" spans="19:34" x14ac:dyDescent="0.25"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</row>
    <row r="1397" spans="19:34" x14ac:dyDescent="0.25"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</row>
    <row r="1398" spans="19:34" x14ac:dyDescent="0.25"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</row>
    <row r="1399" spans="19:34" x14ac:dyDescent="0.25"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</row>
    <row r="1400" spans="19:34" x14ac:dyDescent="0.25"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</row>
    <row r="1401" spans="19:34" x14ac:dyDescent="0.25"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</row>
    <row r="1402" spans="19:34" x14ac:dyDescent="0.25"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</row>
    <row r="1403" spans="19:34" x14ac:dyDescent="0.25"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</row>
    <row r="1404" spans="19:34" x14ac:dyDescent="0.25"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</row>
    <row r="1405" spans="19:34" x14ac:dyDescent="0.25"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</row>
    <row r="1406" spans="19:34" x14ac:dyDescent="0.25"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</row>
    <row r="1407" spans="19:34" x14ac:dyDescent="0.25"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</row>
    <row r="1408" spans="19:34" x14ac:dyDescent="0.25"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</row>
    <row r="1409" spans="19:34" x14ac:dyDescent="0.25"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</row>
    <row r="1410" spans="19:34" x14ac:dyDescent="0.25"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</row>
    <row r="1411" spans="19:34" x14ac:dyDescent="0.25"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</row>
    <row r="1412" spans="19:34" x14ac:dyDescent="0.25"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</row>
    <row r="1413" spans="19:34" x14ac:dyDescent="0.25"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</row>
    <row r="1414" spans="19:34" x14ac:dyDescent="0.25"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</row>
    <row r="1415" spans="19:34" x14ac:dyDescent="0.25"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</row>
    <row r="1416" spans="19:34" x14ac:dyDescent="0.25"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</row>
    <row r="1417" spans="19:34" x14ac:dyDescent="0.25"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</row>
    <row r="1418" spans="19:34" x14ac:dyDescent="0.25"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</row>
    <row r="1419" spans="19:34" x14ac:dyDescent="0.25"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</row>
    <row r="1420" spans="19:34" x14ac:dyDescent="0.25"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</row>
    <row r="1421" spans="19:34" x14ac:dyDescent="0.25"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</row>
    <row r="1422" spans="19:34" x14ac:dyDescent="0.25"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</row>
    <row r="1423" spans="19:34" x14ac:dyDescent="0.25"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</row>
    <row r="1424" spans="19:34" x14ac:dyDescent="0.25"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</row>
    <row r="1425" spans="19:34" x14ac:dyDescent="0.25"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</row>
    <row r="1426" spans="19:34" x14ac:dyDescent="0.25"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</row>
    <row r="1427" spans="19:34" x14ac:dyDescent="0.25"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</row>
    <row r="1428" spans="19:34" x14ac:dyDescent="0.25"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</row>
    <row r="1429" spans="19:34" x14ac:dyDescent="0.25"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</row>
    <row r="1430" spans="19:34" x14ac:dyDescent="0.25"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</row>
    <row r="1431" spans="19:34" x14ac:dyDescent="0.25"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</row>
    <row r="1432" spans="19:34" x14ac:dyDescent="0.25"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</row>
    <row r="1433" spans="19:34" x14ac:dyDescent="0.25"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</row>
    <row r="1434" spans="19:34" x14ac:dyDescent="0.25"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</row>
    <row r="1435" spans="19:34" x14ac:dyDescent="0.25"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</row>
    <row r="1436" spans="19:34" x14ac:dyDescent="0.25"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</row>
    <row r="1437" spans="19:34" x14ac:dyDescent="0.25"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</row>
    <row r="1438" spans="19:34" x14ac:dyDescent="0.25"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</row>
    <row r="1439" spans="19:34" x14ac:dyDescent="0.25"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</row>
    <row r="1440" spans="19:34" x14ac:dyDescent="0.25"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</row>
    <row r="1441" spans="19:34" x14ac:dyDescent="0.25"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</row>
    <row r="1442" spans="19:34" x14ac:dyDescent="0.25"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</row>
    <row r="1443" spans="19:34" x14ac:dyDescent="0.25"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</row>
    <row r="1444" spans="19:34" x14ac:dyDescent="0.25"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</row>
    <row r="1445" spans="19:34" x14ac:dyDescent="0.25"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</row>
    <row r="1446" spans="19:34" x14ac:dyDescent="0.25"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</row>
    <row r="1447" spans="19:34" x14ac:dyDescent="0.25"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</row>
    <row r="1448" spans="19:34" x14ac:dyDescent="0.25"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</row>
    <row r="1449" spans="19:34" x14ac:dyDescent="0.25"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</row>
    <row r="1450" spans="19:34" x14ac:dyDescent="0.25"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</row>
    <row r="1451" spans="19:34" x14ac:dyDescent="0.25"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</row>
    <row r="1452" spans="19:34" x14ac:dyDescent="0.25"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</row>
    <row r="1453" spans="19:34" x14ac:dyDescent="0.25"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</row>
    <row r="1454" spans="19:34" x14ac:dyDescent="0.25"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</row>
    <row r="1455" spans="19:34" x14ac:dyDescent="0.25"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</row>
    <row r="1456" spans="19:34" x14ac:dyDescent="0.25"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</row>
    <row r="1457" spans="19:34" x14ac:dyDescent="0.25"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</row>
    <row r="1458" spans="19:34" x14ac:dyDescent="0.25"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</row>
    <row r="1459" spans="19:34" x14ac:dyDescent="0.25"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</row>
    <row r="1460" spans="19:34" x14ac:dyDescent="0.25"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</row>
    <row r="1461" spans="19:34" x14ac:dyDescent="0.25"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</row>
    <row r="1462" spans="19:34" x14ac:dyDescent="0.25"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</row>
    <row r="1463" spans="19:34" x14ac:dyDescent="0.25"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</row>
    <row r="1464" spans="19:34" x14ac:dyDescent="0.25"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</row>
    <row r="1465" spans="19:34" x14ac:dyDescent="0.25"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</row>
    <row r="1466" spans="19:34" x14ac:dyDescent="0.25"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</row>
    <row r="1467" spans="19:34" x14ac:dyDescent="0.25"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</row>
    <row r="1468" spans="19:34" x14ac:dyDescent="0.25"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</row>
    <row r="1469" spans="19:34" x14ac:dyDescent="0.25"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</row>
    <row r="1470" spans="19:34" x14ac:dyDescent="0.25"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</row>
    <row r="1471" spans="19:34" x14ac:dyDescent="0.25"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</row>
    <row r="1472" spans="19:34" x14ac:dyDescent="0.25"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</row>
    <row r="1473" spans="19:34" x14ac:dyDescent="0.25"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</row>
    <row r="1474" spans="19:34" x14ac:dyDescent="0.25"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</row>
    <row r="1475" spans="19:34" x14ac:dyDescent="0.25"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</row>
    <row r="1476" spans="19:34" x14ac:dyDescent="0.25"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</row>
    <row r="1477" spans="19:34" x14ac:dyDescent="0.25"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</row>
    <row r="1478" spans="19:34" x14ac:dyDescent="0.25"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</row>
    <row r="1479" spans="19:34" x14ac:dyDescent="0.25"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</row>
    <row r="1480" spans="19:34" x14ac:dyDescent="0.25"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</row>
    <row r="1481" spans="19:34" x14ac:dyDescent="0.25"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</row>
    <row r="1482" spans="19:34" x14ac:dyDescent="0.25"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</row>
    <row r="1483" spans="19:34" x14ac:dyDescent="0.25"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</row>
    <row r="1484" spans="19:34" x14ac:dyDescent="0.25"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</row>
    <row r="1485" spans="19:34" x14ac:dyDescent="0.25"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</row>
    <row r="1486" spans="19:34" x14ac:dyDescent="0.25"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</row>
    <row r="1487" spans="19:34" x14ac:dyDescent="0.25"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</row>
    <row r="1488" spans="19:34" x14ac:dyDescent="0.25"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</row>
    <row r="1489" spans="19:34" x14ac:dyDescent="0.25"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</row>
    <row r="1490" spans="19:34" x14ac:dyDescent="0.25"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</row>
    <row r="1491" spans="19:34" x14ac:dyDescent="0.25"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</row>
    <row r="1492" spans="19:34" x14ac:dyDescent="0.25"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</row>
    <row r="1493" spans="19:34" x14ac:dyDescent="0.25"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</row>
    <row r="1494" spans="19:34" x14ac:dyDescent="0.25"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</row>
    <row r="1495" spans="19:34" x14ac:dyDescent="0.25"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</row>
    <row r="1496" spans="19:34" x14ac:dyDescent="0.25"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</row>
    <row r="1497" spans="19:34" x14ac:dyDescent="0.25"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</row>
    <row r="1498" spans="19:34" x14ac:dyDescent="0.25"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</row>
    <row r="1499" spans="19:34" x14ac:dyDescent="0.25"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</row>
    <row r="1500" spans="19:34" x14ac:dyDescent="0.25"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</row>
    <row r="1501" spans="19:34" x14ac:dyDescent="0.25"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</row>
    <row r="1502" spans="19:34" x14ac:dyDescent="0.25"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</row>
    <row r="1503" spans="19:34" x14ac:dyDescent="0.25"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</row>
    <row r="1504" spans="19:34" x14ac:dyDescent="0.25"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</row>
    <row r="1505" spans="19:34" x14ac:dyDescent="0.25"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</row>
    <row r="1506" spans="19:34" x14ac:dyDescent="0.25"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</row>
    <row r="1507" spans="19:34" x14ac:dyDescent="0.25"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</row>
    <row r="1508" spans="19:34" x14ac:dyDescent="0.25"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</row>
    <row r="1509" spans="19:34" x14ac:dyDescent="0.25"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</row>
    <row r="1510" spans="19:34" x14ac:dyDescent="0.25"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</row>
    <row r="1511" spans="19:34" x14ac:dyDescent="0.25"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</row>
    <row r="1512" spans="19:34" x14ac:dyDescent="0.25"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</row>
    <row r="1513" spans="19:34" x14ac:dyDescent="0.25"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</row>
    <row r="1514" spans="19:34" x14ac:dyDescent="0.25"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</row>
    <row r="1515" spans="19:34" x14ac:dyDescent="0.25"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</row>
    <row r="1516" spans="19:34" x14ac:dyDescent="0.25"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</row>
    <row r="1517" spans="19:34" x14ac:dyDescent="0.25"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</row>
    <row r="1518" spans="19:34" x14ac:dyDescent="0.25"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</row>
    <row r="1519" spans="19:34" x14ac:dyDescent="0.25"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</row>
    <row r="1520" spans="19:34" x14ac:dyDescent="0.25"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</row>
    <row r="1521" spans="19:34" x14ac:dyDescent="0.25"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</row>
    <row r="1522" spans="19:34" x14ac:dyDescent="0.25"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</row>
    <row r="1523" spans="19:34" x14ac:dyDescent="0.25"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</row>
    <row r="1524" spans="19:34" x14ac:dyDescent="0.25"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</row>
    <row r="1525" spans="19:34" x14ac:dyDescent="0.25"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</row>
    <row r="1526" spans="19:34" x14ac:dyDescent="0.25"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</row>
    <row r="1527" spans="19:34" x14ac:dyDescent="0.25"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</row>
    <row r="1528" spans="19:34" x14ac:dyDescent="0.25"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</row>
    <row r="1529" spans="19:34" x14ac:dyDescent="0.25"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</row>
    <row r="1530" spans="19:34" x14ac:dyDescent="0.25"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</row>
    <row r="1531" spans="19:34" x14ac:dyDescent="0.25"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</row>
    <row r="1532" spans="19:34" x14ac:dyDescent="0.25"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</row>
    <row r="1533" spans="19:34" x14ac:dyDescent="0.25"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</row>
    <row r="1534" spans="19:34" x14ac:dyDescent="0.25"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</row>
    <row r="1535" spans="19:34" x14ac:dyDescent="0.25"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</row>
    <row r="1536" spans="19:34" x14ac:dyDescent="0.25"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</row>
    <row r="1537" spans="19:34" x14ac:dyDescent="0.25"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</row>
    <row r="1538" spans="19:34" x14ac:dyDescent="0.25"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</row>
    <row r="1539" spans="19:34" x14ac:dyDescent="0.25"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</row>
    <row r="1540" spans="19:34" x14ac:dyDescent="0.25"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</row>
    <row r="1541" spans="19:34" x14ac:dyDescent="0.25"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</row>
    <row r="1542" spans="19:34" x14ac:dyDescent="0.25"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</row>
    <row r="1543" spans="19:34" x14ac:dyDescent="0.25"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</row>
    <row r="1544" spans="19:34" x14ac:dyDescent="0.25"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</row>
    <row r="1545" spans="19:34" x14ac:dyDescent="0.25"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</row>
    <row r="1546" spans="19:34" x14ac:dyDescent="0.25"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</row>
    <row r="1547" spans="19:34" x14ac:dyDescent="0.25"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</row>
    <row r="1548" spans="19:34" x14ac:dyDescent="0.25"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</row>
    <row r="1549" spans="19:34" x14ac:dyDescent="0.25"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</row>
    <row r="1550" spans="19:34" x14ac:dyDescent="0.25"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</row>
    <row r="1551" spans="19:34" x14ac:dyDescent="0.25"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</row>
    <row r="1552" spans="19:34" x14ac:dyDescent="0.25"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</row>
    <row r="1553" spans="19:34" x14ac:dyDescent="0.25"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</row>
    <row r="1554" spans="19:34" x14ac:dyDescent="0.25"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</row>
    <row r="1555" spans="19:34" x14ac:dyDescent="0.25"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</row>
    <row r="1556" spans="19:34" x14ac:dyDescent="0.25"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</row>
    <row r="1557" spans="19:34" x14ac:dyDescent="0.25"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</row>
    <row r="1558" spans="19:34" x14ac:dyDescent="0.25"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</row>
    <row r="1559" spans="19:34" x14ac:dyDescent="0.25"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</row>
    <row r="1560" spans="19:34" x14ac:dyDescent="0.25"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</row>
    <row r="1561" spans="19:34" x14ac:dyDescent="0.25"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</row>
    <row r="1562" spans="19:34" x14ac:dyDescent="0.25"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</row>
    <row r="1563" spans="19:34" x14ac:dyDescent="0.25"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</row>
    <row r="1564" spans="19:34" x14ac:dyDescent="0.25"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</row>
    <row r="1565" spans="19:34" x14ac:dyDescent="0.25"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</row>
    <row r="1566" spans="19:34" x14ac:dyDescent="0.25"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</row>
    <row r="1567" spans="19:34" x14ac:dyDescent="0.25"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</row>
    <row r="1568" spans="19:34" x14ac:dyDescent="0.25"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</row>
    <row r="1569" spans="19:34" x14ac:dyDescent="0.25"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</row>
    <row r="1570" spans="19:34" x14ac:dyDescent="0.25"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</row>
    <row r="1571" spans="19:34" x14ac:dyDescent="0.25"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</row>
    <row r="1572" spans="19:34" x14ac:dyDescent="0.25"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</row>
    <row r="1573" spans="19:34" x14ac:dyDescent="0.25"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</row>
    <row r="1574" spans="19:34" x14ac:dyDescent="0.25"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</row>
    <row r="1575" spans="19:34" x14ac:dyDescent="0.25"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</row>
    <row r="1576" spans="19:34" x14ac:dyDescent="0.25"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</row>
    <row r="1577" spans="19:34" x14ac:dyDescent="0.25"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</row>
    <row r="1578" spans="19:34" x14ac:dyDescent="0.25"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</row>
    <row r="1579" spans="19:34" x14ac:dyDescent="0.25"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</row>
    <row r="1580" spans="19:34" x14ac:dyDescent="0.25"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</row>
    <row r="1581" spans="19:34" x14ac:dyDescent="0.25"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</row>
    <row r="1582" spans="19:34" x14ac:dyDescent="0.25"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</row>
    <row r="1583" spans="19:34" x14ac:dyDescent="0.25"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</row>
    <row r="1584" spans="19:34" x14ac:dyDescent="0.25"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</row>
    <row r="1585" spans="19:34" x14ac:dyDescent="0.25"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</row>
    <row r="1586" spans="19:34" x14ac:dyDescent="0.25"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</row>
    <row r="1587" spans="19:34" x14ac:dyDescent="0.25"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</row>
    <row r="1588" spans="19:34" x14ac:dyDescent="0.25"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</row>
    <row r="1589" spans="19:34" x14ac:dyDescent="0.25"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</row>
    <row r="1590" spans="19:34" x14ac:dyDescent="0.25"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</row>
    <row r="1591" spans="19:34" x14ac:dyDescent="0.25"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</row>
    <row r="1592" spans="19:34" x14ac:dyDescent="0.25"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</row>
    <row r="1593" spans="19:34" x14ac:dyDescent="0.25"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</row>
    <row r="1594" spans="19:34" x14ac:dyDescent="0.25"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</row>
    <row r="1595" spans="19:34" x14ac:dyDescent="0.25"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</row>
    <row r="1596" spans="19:34" x14ac:dyDescent="0.25"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</row>
    <row r="1597" spans="19:34" x14ac:dyDescent="0.25"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</row>
    <row r="1598" spans="19:34" x14ac:dyDescent="0.25"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</row>
    <row r="1599" spans="19:34" x14ac:dyDescent="0.25"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</row>
    <row r="1600" spans="19:34" x14ac:dyDescent="0.25"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</row>
    <row r="1601" spans="19:34" x14ac:dyDescent="0.25"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</row>
    <row r="1602" spans="19:34" x14ac:dyDescent="0.25"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</row>
    <row r="1603" spans="19:34" x14ac:dyDescent="0.25"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</row>
    <row r="1604" spans="19:34" x14ac:dyDescent="0.25"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</row>
    <row r="1605" spans="19:34" x14ac:dyDescent="0.25"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</row>
    <row r="1606" spans="19:34" x14ac:dyDescent="0.25"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</row>
    <row r="1607" spans="19:34" x14ac:dyDescent="0.25"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</row>
    <row r="1608" spans="19:34" x14ac:dyDescent="0.25"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</row>
    <row r="1609" spans="19:34" x14ac:dyDescent="0.25"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</row>
    <row r="1610" spans="19:34" x14ac:dyDescent="0.25"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</row>
    <row r="1611" spans="19:34" x14ac:dyDescent="0.25"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</row>
    <row r="1612" spans="19:34" x14ac:dyDescent="0.25"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</row>
    <row r="1613" spans="19:34" x14ac:dyDescent="0.25"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</row>
    <row r="1614" spans="19:34" x14ac:dyDescent="0.25"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</row>
    <row r="1615" spans="19:34" x14ac:dyDescent="0.25"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</row>
    <row r="1616" spans="19:34" x14ac:dyDescent="0.25"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</row>
    <row r="1617" spans="19:34" x14ac:dyDescent="0.25"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</row>
    <row r="1618" spans="19:34" x14ac:dyDescent="0.25"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</row>
    <row r="1619" spans="19:34" x14ac:dyDescent="0.25"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</row>
    <row r="1620" spans="19:34" x14ac:dyDescent="0.25"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</row>
    <row r="1621" spans="19:34" x14ac:dyDescent="0.25"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</row>
    <row r="1622" spans="19:34" x14ac:dyDescent="0.25"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</row>
    <row r="1623" spans="19:34" x14ac:dyDescent="0.25"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</row>
    <row r="1624" spans="19:34" x14ac:dyDescent="0.25"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</row>
    <row r="1625" spans="19:34" x14ac:dyDescent="0.25"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</row>
    <row r="1626" spans="19:34" x14ac:dyDescent="0.25"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</row>
    <row r="1627" spans="19:34" x14ac:dyDescent="0.25"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</row>
    <row r="1628" spans="19:34" x14ac:dyDescent="0.25"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</row>
    <row r="1629" spans="19:34" x14ac:dyDescent="0.25"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</row>
    <row r="1630" spans="19:34" x14ac:dyDescent="0.25"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</row>
    <row r="1631" spans="19:34" x14ac:dyDescent="0.25"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</row>
    <row r="1632" spans="19:34" x14ac:dyDescent="0.25"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</row>
    <row r="1633" spans="19:34" x14ac:dyDescent="0.25"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</row>
    <row r="1634" spans="19:34" x14ac:dyDescent="0.25"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</row>
    <row r="1635" spans="19:34" x14ac:dyDescent="0.25"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</row>
    <row r="1636" spans="19:34" x14ac:dyDescent="0.25"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</row>
    <row r="1637" spans="19:34" x14ac:dyDescent="0.25"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</row>
    <row r="1638" spans="19:34" x14ac:dyDescent="0.25"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</row>
    <row r="1639" spans="19:34" x14ac:dyDescent="0.25"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</row>
    <row r="1640" spans="19:34" x14ac:dyDescent="0.25"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</row>
    <row r="1641" spans="19:34" x14ac:dyDescent="0.25"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</row>
    <row r="1642" spans="19:34" x14ac:dyDescent="0.25"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</row>
    <row r="1643" spans="19:34" x14ac:dyDescent="0.25"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</row>
    <row r="1644" spans="19:34" x14ac:dyDescent="0.25"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</row>
    <row r="1645" spans="19:34" x14ac:dyDescent="0.25"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</row>
    <row r="1646" spans="19:34" x14ac:dyDescent="0.25"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</row>
    <row r="1647" spans="19:34" x14ac:dyDescent="0.25"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</row>
    <row r="1648" spans="19:34" x14ac:dyDescent="0.25"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</row>
    <row r="1649" spans="19:34" x14ac:dyDescent="0.25"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</row>
    <row r="1650" spans="19:34" x14ac:dyDescent="0.25"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</row>
    <row r="1651" spans="19:34" x14ac:dyDescent="0.25"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</row>
    <row r="1652" spans="19:34" x14ac:dyDescent="0.25"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</row>
    <row r="1653" spans="19:34" x14ac:dyDescent="0.25"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</row>
    <row r="1654" spans="19:34" x14ac:dyDescent="0.25"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</row>
    <row r="1655" spans="19:34" x14ac:dyDescent="0.25"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</row>
    <row r="1656" spans="19:34" x14ac:dyDescent="0.25"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</row>
    <row r="1657" spans="19:34" x14ac:dyDescent="0.25"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</row>
    <row r="1658" spans="19:34" x14ac:dyDescent="0.25"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</row>
    <row r="1659" spans="19:34" x14ac:dyDescent="0.25"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</row>
    <row r="1660" spans="19:34" x14ac:dyDescent="0.25"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</row>
    <row r="1661" spans="19:34" x14ac:dyDescent="0.25"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</row>
    <row r="1662" spans="19:34" x14ac:dyDescent="0.25"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</row>
    <row r="1663" spans="19:34" x14ac:dyDescent="0.25"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</row>
    <row r="1664" spans="19:34" x14ac:dyDescent="0.25"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</row>
    <row r="1665" spans="19:34" x14ac:dyDescent="0.25"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</row>
    <row r="1666" spans="19:34" x14ac:dyDescent="0.25"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</row>
    <row r="1667" spans="19:34" x14ac:dyDescent="0.25"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</row>
    <row r="1668" spans="19:34" x14ac:dyDescent="0.25"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</row>
    <row r="1669" spans="19:34" x14ac:dyDescent="0.25"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</row>
    <row r="1670" spans="19:34" x14ac:dyDescent="0.25"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</row>
    <row r="1671" spans="19:34" x14ac:dyDescent="0.25"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</row>
    <row r="1672" spans="19:34" x14ac:dyDescent="0.25"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</row>
    <row r="1673" spans="19:34" x14ac:dyDescent="0.25"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</row>
    <row r="1674" spans="19:34" x14ac:dyDescent="0.25"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</row>
    <row r="1675" spans="19:34" x14ac:dyDescent="0.25"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</row>
    <row r="1676" spans="19:34" x14ac:dyDescent="0.25"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</row>
    <row r="1677" spans="19:34" x14ac:dyDescent="0.25"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</row>
    <row r="1678" spans="19:34" x14ac:dyDescent="0.25"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</row>
    <row r="1679" spans="19:34" x14ac:dyDescent="0.25"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</row>
    <row r="1680" spans="19:34" x14ac:dyDescent="0.25"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</row>
    <row r="1681" spans="19:34" x14ac:dyDescent="0.25"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</row>
    <row r="1682" spans="19:34" x14ac:dyDescent="0.25"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</row>
    <row r="1683" spans="19:34" x14ac:dyDescent="0.25"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</row>
    <row r="1684" spans="19:34" x14ac:dyDescent="0.25"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</row>
    <row r="1685" spans="19:34" x14ac:dyDescent="0.25"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</row>
    <row r="1686" spans="19:34" x14ac:dyDescent="0.25"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</row>
    <row r="1687" spans="19:34" x14ac:dyDescent="0.25"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</row>
    <row r="1688" spans="19:34" x14ac:dyDescent="0.25"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</row>
    <row r="1689" spans="19:34" x14ac:dyDescent="0.25"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</row>
    <row r="1690" spans="19:34" x14ac:dyDescent="0.25"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</row>
    <row r="1691" spans="19:34" x14ac:dyDescent="0.25"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</row>
    <row r="1692" spans="19:34" x14ac:dyDescent="0.25"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</row>
    <row r="1693" spans="19:34" x14ac:dyDescent="0.25"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</row>
    <row r="1694" spans="19:34" x14ac:dyDescent="0.25"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</row>
    <row r="1695" spans="19:34" x14ac:dyDescent="0.25"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</row>
    <row r="1696" spans="19:34" x14ac:dyDescent="0.25"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</row>
    <row r="1697" spans="19:34" x14ac:dyDescent="0.25"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</row>
    <row r="1698" spans="19:34" x14ac:dyDescent="0.25"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</row>
    <row r="1699" spans="19:34" x14ac:dyDescent="0.25"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</row>
    <row r="1700" spans="19:34" x14ac:dyDescent="0.25"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</row>
    <row r="1701" spans="19:34" x14ac:dyDescent="0.25"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</row>
    <row r="1702" spans="19:34" x14ac:dyDescent="0.25"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</row>
    <row r="1703" spans="19:34" x14ac:dyDescent="0.25"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</row>
    <row r="1704" spans="19:34" x14ac:dyDescent="0.25"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</row>
    <row r="1705" spans="19:34" x14ac:dyDescent="0.25"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</row>
    <row r="1706" spans="19:34" x14ac:dyDescent="0.25"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</row>
    <row r="1707" spans="19:34" x14ac:dyDescent="0.25"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</row>
    <row r="1708" spans="19:34" x14ac:dyDescent="0.25"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</row>
    <row r="1709" spans="19:34" x14ac:dyDescent="0.25"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</row>
    <row r="1710" spans="19:34" x14ac:dyDescent="0.25"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</row>
    <row r="1711" spans="19:34" x14ac:dyDescent="0.25"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</row>
    <row r="1712" spans="19:34" x14ac:dyDescent="0.25"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</row>
    <row r="1713" spans="19:34" x14ac:dyDescent="0.25"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</row>
    <row r="1714" spans="19:34" x14ac:dyDescent="0.25"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</row>
    <row r="1715" spans="19:34" x14ac:dyDescent="0.25"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</row>
    <row r="1716" spans="19:34" x14ac:dyDescent="0.25"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</row>
    <row r="1717" spans="19:34" x14ac:dyDescent="0.25"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</row>
    <row r="1718" spans="19:34" x14ac:dyDescent="0.25"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</row>
    <row r="1719" spans="19:34" x14ac:dyDescent="0.25"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</row>
    <row r="1720" spans="19:34" x14ac:dyDescent="0.25"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</row>
    <row r="1721" spans="19:34" x14ac:dyDescent="0.25"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</row>
    <row r="1722" spans="19:34" x14ac:dyDescent="0.25"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</row>
    <row r="1723" spans="19:34" x14ac:dyDescent="0.25"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</row>
    <row r="1724" spans="19:34" x14ac:dyDescent="0.25"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</row>
    <row r="1725" spans="19:34" x14ac:dyDescent="0.25"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</row>
    <row r="1726" spans="19:34" x14ac:dyDescent="0.25"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</row>
    <row r="1727" spans="19:34" x14ac:dyDescent="0.25"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</row>
    <row r="1728" spans="19:34" x14ac:dyDescent="0.25"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</row>
    <row r="1729" spans="19:34" x14ac:dyDescent="0.25"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</row>
    <row r="1730" spans="19:34" x14ac:dyDescent="0.25"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</row>
    <row r="1731" spans="19:34" x14ac:dyDescent="0.25"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</row>
    <row r="1732" spans="19:34" x14ac:dyDescent="0.25"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</row>
    <row r="1733" spans="19:34" x14ac:dyDescent="0.25"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</row>
    <row r="1734" spans="19:34" x14ac:dyDescent="0.25"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</row>
    <row r="1735" spans="19:34" x14ac:dyDescent="0.25"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</row>
    <row r="1736" spans="19:34" x14ac:dyDescent="0.25"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</row>
    <row r="1737" spans="19:34" x14ac:dyDescent="0.25"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</row>
    <row r="1738" spans="19:34" x14ac:dyDescent="0.25"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</row>
    <row r="1739" spans="19:34" x14ac:dyDescent="0.25"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</row>
    <row r="1740" spans="19:34" x14ac:dyDescent="0.25"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</row>
    <row r="1741" spans="19:34" x14ac:dyDescent="0.25"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перевод</vt:lpstr>
      <vt:lpstr>сложение</vt:lpstr>
      <vt:lpstr>диаграмма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Askar Kasimov</dc:creator>
  <cp:lastModifiedBy>Askar Kasimov</cp:lastModifiedBy>
  <dcterms:created xsi:type="dcterms:W3CDTF">2024-11-24T14:49:45Z</dcterms:created>
  <dcterms:modified xsi:type="dcterms:W3CDTF">2024-11-28T13:12:11Z</dcterms:modified>
</cp:coreProperties>
</file>